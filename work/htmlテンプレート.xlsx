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project\history\mymemo\work\"/>
    </mc:Choice>
  </mc:AlternateContent>
  <xr:revisionPtr revIDLastSave="0" documentId="13_ncr:1_{8577DFDE-CAE7-49F1-B39B-87D4D847E879}" xr6:coauthVersionLast="47" xr6:coauthVersionMax="47" xr10:uidLastSave="{00000000-0000-0000-0000-000000000000}"/>
  <bookViews>
    <workbookView xWindow="3105" yWindow="0" windowWidth="21075" windowHeight="15585" xr2:uid="{309DD02C-A648-406D-9CE6-285D2E204190}"/>
  </bookViews>
  <sheets>
    <sheet name="日本史人物テンプレート"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9" i="1" l="1"/>
  <c r="G63" i="1"/>
  <c r="G89" i="1"/>
  <c r="G88" i="1"/>
  <c r="G87" i="1"/>
  <c r="G86" i="1"/>
  <c r="G85" i="1"/>
  <c r="G84" i="1"/>
  <c r="G83" i="1"/>
  <c r="G82" i="1"/>
  <c r="G81" i="1"/>
  <c r="G80" i="1"/>
  <c r="G79" i="1"/>
  <c r="G78" i="1"/>
  <c r="G77" i="1"/>
  <c r="G76" i="1"/>
  <c r="G75" i="1"/>
  <c r="G74" i="1"/>
  <c r="G73" i="1"/>
  <c r="G72" i="1"/>
  <c r="G71" i="1"/>
  <c r="G70" i="1"/>
  <c r="G68" i="1"/>
  <c r="G67" i="1"/>
  <c r="G66" i="1"/>
  <c r="G65" i="1"/>
  <c r="G64"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3" i="1"/>
  <c r="G34" i="1"/>
  <c r="G32" i="1"/>
  <c r="G31" i="1"/>
  <c r="G29" i="1"/>
  <c r="G30" i="1"/>
  <c r="G28" i="1"/>
  <c r="G27" i="1"/>
  <c r="G25" i="1"/>
  <c r="G26" i="1"/>
  <c r="G24" i="1"/>
  <c r="G23" i="1"/>
  <c r="G21" i="1"/>
  <c r="G22" i="1"/>
  <c r="G20" i="1"/>
  <c r="G19" i="1"/>
  <c r="G18" i="1"/>
  <c r="G17" i="1"/>
  <c r="G16" i="1"/>
  <c r="G15" i="1"/>
  <c r="G13" i="1"/>
  <c r="G12" i="1"/>
  <c r="G11" i="1"/>
  <c r="G9" i="1"/>
  <c r="G8" i="1"/>
  <c r="G7" i="1"/>
  <c r="G6" i="1"/>
  <c r="G5" i="1"/>
  <c r="G4" i="1"/>
  <c r="G3" i="1"/>
  <c r="G2" i="1"/>
  <c r="E14" i="1"/>
  <c r="G14" i="1" s="1"/>
  <c r="E10" i="1"/>
  <c r="G10" i="1" s="1"/>
</calcChain>
</file>

<file path=xl/sharedStrings.xml><?xml version="1.0" encoding="utf-8"?>
<sst xmlns="http://schemas.openxmlformats.org/spreadsheetml/2006/main" count="177" uniqueCount="103">
  <si>
    <r>
      <t>&lt;!</t>
    </r>
    <r>
      <rPr>
        <sz val="11"/>
        <color rgb="FF569CD6"/>
        <rFont val="Consolas"/>
        <family val="3"/>
      </rPr>
      <t>DOCTYPE</t>
    </r>
    <r>
      <rPr>
        <sz val="11"/>
        <color rgb="FFCCCCCC"/>
        <rFont val="Consolas"/>
        <family val="3"/>
      </rPr>
      <t xml:space="preserve"> </t>
    </r>
    <r>
      <rPr>
        <sz val="11"/>
        <color rgb="FF9CDCFE"/>
        <rFont val="Consolas"/>
        <family val="3"/>
      </rPr>
      <t>html</t>
    </r>
    <r>
      <rPr>
        <sz val="11"/>
        <color rgb="FF808080"/>
        <rFont val="Consolas"/>
        <family val="3"/>
      </rPr>
      <t>&gt;</t>
    </r>
  </si>
  <si>
    <r>
      <t>&lt;</t>
    </r>
    <r>
      <rPr>
        <sz val="11"/>
        <color rgb="FF569CD6"/>
        <rFont val="Consolas"/>
        <family val="3"/>
      </rPr>
      <t>html</t>
    </r>
    <r>
      <rPr>
        <sz val="11"/>
        <color rgb="FFCCCCCC"/>
        <rFont val="Consolas"/>
        <family val="3"/>
      </rPr>
      <t xml:space="preserve"> </t>
    </r>
    <r>
      <rPr>
        <sz val="11"/>
        <color rgb="FF9CDCFE"/>
        <rFont val="Consolas"/>
        <family val="3"/>
      </rPr>
      <t>lang</t>
    </r>
    <r>
      <rPr>
        <sz val="11"/>
        <color rgb="FFCCCCCC"/>
        <rFont val="Consolas"/>
        <family val="3"/>
      </rPr>
      <t>=</t>
    </r>
    <r>
      <rPr>
        <sz val="11"/>
        <color rgb="FFCE9178"/>
        <rFont val="Consolas"/>
        <family val="3"/>
      </rPr>
      <t>"en"</t>
    </r>
    <r>
      <rPr>
        <sz val="11"/>
        <color rgb="FFCCCCCC"/>
        <rFont val="Consolas"/>
        <family val="3"/>
      </rPr>
      <t xml:space="preserve"> </t>
    </r>
    <r>
      <rPr>
        <sz val="11"/>
        <color rgb="FF9CDCFE"/>
        <rFont val="Consolas"/>
        <family val="3"/>
      </rPr>
      <t>dir</t>
    </r>
    <r>
      <rPr>
        <sz val="11"/>
        <color rgb="FFCCCCCC"/>
        <rFont val="Consolas"/>
        <family val="3"/>
      </rPr>
      <t>=</t>
    </r>
    <r>
      <rPr>
        <sz val="11"/>
        <color rgb="FFCE9178"/>
        <rFont val="Consolas"/>
        <family val="3"/>
      </rPr>
      <t>"ltr"</t>
    </r>
    <r>
      <rPr>
        <sz val="11"/>
        <color rgb="FF808080"/>
        <rFont val="Consolas"/>
        <family val="3"/>
      </rPr>
      <t>&gt;</t>
    </r>
  </si>
  <si>
    <t>インデント</t>
    <phoneticPr fontId="1"/>
  </si>
  <si>
    <t>松浦守</t>
    <rPh sb="0" eb="3">
      <t>マツラマモル</t>
    </rPh>
    <phoneticPr fontId="1"/>
  </si>
  <si>
    <r>
      <rPr>
        <sz val="11"/>
        <color rgb="FF808080"/>
        <rFont val="Consolas"/>
        <family val="3"/>
      </rPr>
      <t>&lt;</t>
    </r>
    <r>
      <rPr>
        <sz val="11"/>
        <color rgb="FF569CD6"/>
        <rFont val="Consolas"/>
        <family val="3"/>
      </rPr>
      <t>head</t>
    </r>
    <r>
      <rPr>
        <sz val="11"/>
        <color rgb="FF808080"/>
        <rFont val="Consolas"/>
        <family val="3"/>
      </rPr>
      <t>&gt;</t>
    </r>
    <phoneticPr fontId="1"/>
  </si>
  <si>
    <r>
      <rPr>
        <sz val="11"/>
        <color rgb="FF808080"/>
        <rFont val="Consolas"/>
        <family val="3"/>
      </rPr>
      <t>&lt;</t>
    </r>
    <r>
      <rPr>
        <sz val="11"/>
        <color rgb="FF569CD6"/>
        <rFont val="Consolas"/>
        <family val="3"/>
      </rPr>
      <t>meta</t>
    </r>
    <r>
      <rPr>
        <sz val="11"/>
        <color rgb="FFCCCCCC"/>
        <rFont val="Consolas"/>
        <family val="3"/>
      </rPr>
      <t xml:space="preserve"> </t>
    </r>
    <r>
      <rPr>
        <sz val="11"/>
        <color rgb="FF9CDCFE"/>
        <rFont val="Consolas"/>
        <family val="3"/>
      </rPr>
      <t>charset</t>
    </r>
    <r>
      <rPr>
        <sz val="11"/>
        <color rgb="FFCCCCCC"/>
        <rFont val="Consolas"/>
        <family val="3"/>
      </rPr>
      <t>=</t>
    </r>
    <r>
      <rPr>
        <sz val="11"/>
        <color rgb="FFCE9178"/>
        <rFont val="Consolas"/>
        <family val="3"/>
      </rPr>
      <t>"utf-8"</t>
    </r>
    <r>
      <rPr>
        <sz val="11"/>
        <color rgb="FF808080"/>
        <rFont val="Consolas"/>
        <family val="3"/>
      </rPr>
      <t>&gt;</t>
    </r>
    <phoneticPr fontId="1"/>
  </si>
  <si>
    <r>
      <rPr>
        <sz val="11"/>
        <color rgb="FF808080"/>
        <rFont val="Consolas"/>
        <family val="3"/>
      </rPr>
      <t>&lt;</t>
    </r>
    <r>
      <rPr>
        <sz val="11"/>
        <color rgb="FF569CD6"/>
        <rFont val="Consolas"/>
        <family val="3"/>
      </rPr>
      <t>meta</t>
    </r>
    <r>
      <rPr>
        <sz val="11"/>
        <color rgb="FFCCCCCC"/>
        <rFont val="Consolas"/>
        <family val="3"/>
      </rPr>
      <t xml:space="preserve"> </t>
    </r>
    <r>
      <rPr>
        <sz val="11"/>
        <color rgb="FF9CDCFE"/>
        <rFont val="Consolas"/>
        <family val="3"/>
      </rPr>
      <t>name</t>
    </r>
    <r>
      <rPr>
        <sz val="11"/>
        <color rgb="FFCCCCCC"/>
        <rFont val="Consolas"/>
        <family val="3"/>
      </rPr>
      <t>=</t>
    </r>
    <r>
      <rPr>
        <sz val="11"/>
        <color rgb="FFCE9178"/>
        <rFont val="Consolas"/>
        <family val="3"/>
      </rPr>
      <t>"viewport"</t>
    </r>
    <r>
      <rPr>
        <sz val="11"/>
        <color rgb="FFCCCCCC"/>
        <rFont val="Consolas"/>
        <family val="3"/>
      </rPr>
      <t xml:space="preserve"> </t>
    </r>
    <r>
      <rPr>
        <sz val="11"/>
        <color rgb="FF9CDCFE"/>
        <rFont val="Consolas"/>
        <family val="3"/>
      </rPr>
      <t>content</t>
    </r>
    <r>
      <rPr>
        <sz val="11"/>
        <color rgb="FFCCCCCC"/>
        <rFont val="Consolas"/>
        <family val="3"/>
      </rPr>
      <t>=</t>
    </r>
    <r>
      <rPr>
        <sz val="11"/>
        <color rgb="FFCE9178"/>
        <rFont val="Consolas"/>
        <family val="3"/>
      </rPr>
      <t>"width=device-width,initial-scale=1.0,user-scalable=yes"</t>
    </r>
    <r>
      <rPr>
        <sz val="11"/>
        <color rgb="FFCCCCCC"/>
        <rFont val="Consolas"/>
        <family val="3"/>
      </rPr>
      <t xml:space="preserve"> </t>
    </r>
    <r>
      <rPr>
        <sz val="11"/>
        <color rgb="FF808080"/>
        <rFont val="Consolas"/>
        <family val="3"/>
      </rPr>
      <t>/&gt;</t>
    </r>
    <phoneticPr fontId="1"/>
  </si>
  <si>
    <r>
      <rPr>
        <sz val="11"/>
        <color rgb="FF808080"/>
        <rFont val="Consolas"/>
        <family val="3"/>
      </rPr>
      <t>&lt;</t>
    </r>
    <r>
      <rPr>
        <sz val="11"/>
        <color rgb="FF569CD6"/>
        <rFont val="Consolas"/>
        <family val="3"/>
      </rPr>
      <t>link</t>
    </r>
    <r>
      <rPr>
        <sz val="11"/>
        <color rgb="FFCCCCCC"/>
        <rFont val="Consolas"/>
        <family val="3"/>
      </rPr>
      <t xml:space="preserve"> </t>
    </r>
    <r>
      <rPr>
        <sz val="11"/>
        <color rgb="FF9CDCFE"/>
        <rFont val="Consolas"/>
        <family val="3"/>
      </rPr>
      <t>rel</t>
    </r>
    <r>
      <rPr>
        <sz val="11"/>
        <color rgb="FFCCCCCC"/>
        <rFont val="Consolas"/>
        <family val="3"/>
      </rPr>
      <t>=</t>
    </r>
    <r>
      <rPr>
        <sz val="11"/>
        <color rgb="FFCE9178"/>
        <rFont val="Consolas"/>
        <family val="3"/>
      </rPr>
      <t>"stylesheet"</t>
    </r>
    <r>
      <rPr>
        <sz val="11"/>
        <color rgb="FFCCCCCC"/>
        <rFont val="Consolas"/>
        <family val="3"/>
      </rPr>
      <t xml:space="preserve"> </t>
    </r>
    <r>
      <rPr>
        <sz val="11"/>
        <color rgb="FF9CDCFE"/>
        <rFont val="Consolas"/>
        <family val="3"/>
      </rPr>
      <t>href</t>
    </r>
    <r>
      <rPr>
        <sz val="11"/>
        <color rgb="FFCCCCCC"/>
        <rFont val="Consolas"/>
        <family val="3"/>
      </rPr>
      <t>=</t>
    </r>
    <r>
      <rPr>
        <sz val="11"/>
        <color rgb="FFCE9178"/>
        <rFont val="Consolas"/>
        <family val="3"/>
      </rPr>
      <t>"../../../css/common.css"</t>
    </r>
    <r>
      <rPr>
        <sz val="11"/>
        <color rgb="FF808080"/>
        <rFont val="Consolas"/>
        <family val="3"/>
      </rPr>
      <t>&gt;</t>
    </r>
    <phoneticPr fontId="1"/>
  </si>
  <si>
    <r>
      <rPr>
        <sz val="11"/>
        <color rgb="FF808080"/>
        <rFont val="Consolas"/>
        <family val="3"/>
      </rPr>
      <t>&lt;</t>
    </r>
    <r>
      <rPr>
        <sz val="11"/>
        <color rgb="FF569CD6"/>
        <rFont val="Consolas"/>
        <family val="3"/>
      </rPr>
      <t>link</t>
    </r>
    <r>
      <rPr>
        <sz val="11"/>
        <color rgb="FFCCCCCC"/>
        <rFont val="Consolas"/>
        <family val="3"/>
      </rPr>
      <t xml:space="preserve"> </t>
    </r>
    <r>
      <rPr>
        <sz val="11"/>
        <color rgb="FF9CDCFE"/>
        <rFont val="Consolas"/>
        <family val="3"/>
      </rPr>
      <t>rel</t>
    </r>
    <r>
      <rPr>
        <sz val="11"/>
        <color rgb="FFCCCCCC"/>
        <rFont val="Consolas"/>
        <family val="3"/>
      </rPr>
      <t>=</t>
    </r>
    <r>
      <rPr>
        <sz val="11"/>
        <color rgb="FFCE9178"/>
        <rFont val="Consolas"/>
        <family val="3"/>
      </rPr>
      <t>"stylesheet"</t>
    </r>
    <r>
      <rPr>
        <sz val="11"/>
        <color rgb="FFCCCCCC"/>
        <rFont val="Consolas"/>
        <family val="3"/>
      </rPr>
      <t xml:space="preserve"> </t>
    </r>
    <r>
      <rPr>
        <sz val="11"/>
        <color rgb="FF9CDCFE"/>
        <rFont val="Consolas"/>
        <family val="3"/>
      </rPr>
      <t>href</t>
    </r>
    <r>
      <rPr>
        <sz val="11"/>
        <color rgb="FFCCCCCC"/>
        <rFont val="Consolas"/>
        <family val="3"/>
      </rPr>
      <t>=</t>
    </r>
    <r>
      <rPr>
        <sz val="11"/>
        <color rgb="FFCE9178"/>
        <rFont val="Consolas"/>
        <family val="3"/>
      </rPr>
      <t>"../../../css/table.css"</t>
    </r>
    <r>
      <rPr>
        <sz val="11"/>
        <color rgb="FF808080"/>
        <rFont val="Consolas"/>
        <family val="3"/>
      </rPr>
      <t>&gt;</t>
    </r>
    <phoneticPr fontId="1"/>
  </si>
  <si>
    <r>
      <rPr>
        <sz val="11"/>
        <color rgb="FF808080"/>
        <rFont val="Consolas"/>
        <family val="3"/>
      </rPr>
      <t>&lt;</t>
    </r>
    <r>
      <rPr>
        <sz val="11"/>
        <color rgb="FF569CD6"/>
        <rFont val="Consolas"/>
        <family val="3"/>
      </rPr>
      <t>link</t>
    </r>
    <r>
      <rPr>
        <sz val="11"/>
        <color rgb="FFCCCCCC"/>
        <rFont val="Consolas"/>
        <family val="3"/>
      </rPr>
      <t xml:space="preserve"> </t>
    </r>
    <r>
      <rPr>
        <sz val="11"/>
        <color rgb="FF9CDCFE"/>
        <rFont val="Consolas"/>
        <family val="3"/>
      </rPr>
      <t>rel</t>
    </r>
    <r>
      <rPr>
        <sz val="11"/>
        <color rgb="FFCCCCCC"/>
        <rFont val="Consolas"/>
        <family val="3"/>
      </rPr>
      <t>=</t>
    </r>
    <r>
      <rPr>
        <sz val="11"/>
        <color rgb="FFCE9178"/>
        <rFont val="Consolas"/>
        <family val="3"/>
      </rPr>
      <t>"icon"</t>
    </r>
    <r>
      <rPr>
        <sz val="11"/>
        <color rgb="FFCCCCCC"/>
        <rFont val="Consolas"/>
        <family val="3"/>
      </rPr>
      <t xml:space="preserve"> </t>
    </r>
    <r>
      <rPr>
        <sz val="11"/>
        <color rgb="FF9CDCFE"/>
        <rFont val="Consolas"/>
        <family val="3"/>
      </rPr>
      <t>type</t>
    </r>
    <r>
      <rPr>
        <sz val="11"/>
        <color rgb="FFCCCCCC"/>
        <rFont val="Consolas"/>
        <family val="3"/>
      </rPr>
      <t>=</t>
    </r>
    <r>
      <rPr>
        <sz val="11"/>
        <color rgb="FFCE9178"/>
        <rFont val="Consolas"/>
        <family val="3"/>
      </rPr>
      <t>"image/png"</t>
    </r>
    <r>
      <rPr>
        <sz val="11"/>
        <color rgb="FFCCCCCC"/>
        <rFont val="Consolas"/>
        <family val="3"/>
      </rPr>
      <t xml:space="preserve"> </t>
    </r>
    <r>
      <rPr>
        <sz val="11"/>
        <color rgb="FF9CDCFE"/>
        <rFont val="Consolas"/>
        <family val="3"/>
      </rPr>
      <t>href</t>
    </r>
    <r>
      <rPr>
        <sz val="11"/>
        <color rgb="FFCCCCCC"/>
        <rFont val="Consolas"/>
        <family val="3"/>
      </rPr>
      <t>=</t>
    </r>
    <r>
      <rPr>
        <sz val="11"/>
        <color rgb="FFCE9178"/>
        <rFont val="Consolas"/>
        <family val="3"/>
      </rPr>
      <t>"../../../img/pochama.png"</t>
    </r>
    <r>
      <rPr>
        <sz val="11"/>
        <color rgb="FF808080"/>
        <rFont val="Consolas"/>
        <family val="3"/>
      </rPr>
      <t>&gt;</t>
    </r>
    <phoneticPr fontId="1"/>
  </si>
  <si>
    <r>
      <rPr>
        <sz val="11"/>
        <color rgb="FF808080"/>
        <rFont val="Consolas"/>
        <family val="3"/>
      </rPr>
      <t>&lt;</t>
    </r>
    <r>
      <rPr>
        <sz val="11"/>
        <color rgb="FF569CD6"/>
        <rFont val="Consolas"/>
        <family val="3"/>
      </rPr>
      <t>title</t>
    </r>
    <r>
      <rPr>
        <sz val="11"/>
        <color rgb="FF808080"/>
        <rFont val="Consolas"/>
        <family val="3"/>
      </rPr>
      <t>&gt;</t>
    </r>
    <phoneticPr fontId="1"/>
  </si>
  <si>
    <r>
      <rPr>
        <sz val="11"/>
        <color rgb="FF808080"/>
        <rFont val="Consolas"/>
        <family val="3"/>
      </rPr>
      <t>&lt;/</t>
    </r>
    <r>
      <rPr>
        <sz val="11"/>
        <color rgb="FF569CD6"/>
        <rFont val="Consolas"/>
        <family val="3"/>
      </rPr>
      <t>head</t>
    </r>
    <r>
      <rPr>
        <sz val="11"/>
        <color rgb="FF808080"/>
        <rFont val="Consolas"/>
        <family val="3"/>
      </rPr>
      <t>&gt;</t>
    </r>
    <phoneticPr fontId="1"/>
  </si>
  <si>
    <t>&lt;/div&gt;</t>
    <phoneticPr fontId="1"/>
  </si>
  <si>
    <r>
      <rPr>
        <sz val="11"/>
        <color rgb="FF808080"/>
        <rFont val="Consolas"/>
        <family val="3"/>
      </rPr>
      <t>&lt;/</t>
    </r>
    <r>
      <rPr>
        <sz val="11"/>
        <color rgb="FF569CD6"/>
        <rFont val="Consolas"/>
        <family val="3"/>
      </rPr>
      <t>div</t>
    </r>
    <r>
      <rPr>
        <sz val="11"/>
        <color rgb="FF808080"/>
        <rFont val="Consolas"/>
        <family val="3"/>
      </rPr>
      <t>&gt;</t>
    </r>
    <phoneticPr fontId="1"/>
  </si>
  <si>
    <r>
      <rPr>
        <sz val="11"/>
        <color rgb="FF808080"/>
        <rFont val="Consolas"/>
        <family val="3"/>
      </rPr>
      <t>&lt;</t>
    </r>
    <r>
      <rPr>
        <sz val="11"/>
        <color rgb="FF569CD6"/>
        <rFont val="Consolas"/>
        <family val="3"/>
      </rPr>
      <t>div</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"dekigoto_info"</t>
    </r>
    <r>
      <rPr>
        <sz val="11"/>
        <color rgb="FF808080"/>
        <rFont val="Consolas"/>
        <family val="3"/>
      </rPr>
      <t>&gt;</t>
    </r>
    <phoneticPr fontId="1"/>
  </si>
  <si>
    <r>
      <rPr>
        <sz val="11"/>
        <color rgb="FF808080"/>
        <rFont val="Consolas"/>
        <family val="3"/>
      </rPr>
      <t>&lt;</t>
    </r>
    <r>
      <rPr>
        <sz val="11"/>
        <color rgb="FF569CD6"/>
        <rFont val="Consolas"/>
        <family val="3"/>
      </rPr>
      <t>div</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"common_contents"</t>
    </r>
    <r>
      <rPr>
        <sz val="11"/>
        <color rgb="FF808080"/>
        <rFont val="Consolas"/>
        <family val="3"/>
      </rPr>
      <t>&gt;</t>
    </r>
    <phoneticPr fontId="1"/>
  </si>
  <si>
    <r>
      <rPr>
        <sz val="11"/>
        <color rgb="FF808080"/>
        <rFont val="Consolas"/>
        <family val="3"/>
      </rPr>
      <t>&lt;</t>
    </r>
    <r>
      <rPr>
        <sz val="11"/>
        <color rgb="FF569CD6"/>
        <rFont val="Consolas"/>
        <family val="3"/>
      </rPr>
      <t>div</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"common_top"</t>
    </r>
    <r>
      <rPr>
        <sz val="11"/>
        <color rgb="FF808080"/>
        <rFont val="Consolas"/>
        <family val="3"/>
      </rPr>
      <t>&gt;</t>
    </r>
    <phoneticPr fontId="1"/>
  </si>
  <si>
    <r>
      <rPr>
        <sz val="11"/>
        <color rgb="FF808080"/>
        <rFont val="Consolas"/>
        <family val="3"/>
      </rPr>
      <t>&lt;</t>
    </r>
    <r>
      <rPr>
        <sz val="11"/>
        <color rgb="FF569CD6"/>
        <rFont val="Consolas"/>
        <family val="3"/>
      </rPr>
      <t>body</t>
    </r>
    <r>
      <rPr>
        <sz val="11"/>
        <color rgb="FF808080"/>
        <rFont val="Consolas"/>
        <family val="3"/>
      </rPr>
      <t>&gt;</t>
    </r>
    <phoneticPr fontId="1"/>
  </si>
  <si>
    <t>&lt;/h2&gt;</t>
    <phoneticPr fontId="1"/>
  </si>
  <si>
    <r>
      <rPr>
        <sz val="11"/>
        <color rgb="FF808080"/>
        <rFont val="Consolas"/>
        <family val="3"/>
      </rPr>
      <t>&lt;</t>
    </r>
    <r>
      <rPr>
        <sz val="11"/>
        <color rgb="FF569CD6"/>
        <rFont val="Consolas"/>
        <family val="3"/>
      </rPr>
      <t>h2</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"title_h2"</t>
    </r>
    <r>
      <rPr>
        <sz val="11"/>
        <color rgb="FF808080"/>
        <rFont val="Consolas"/>
        <family val="3"/>
      </rPr>
      <t>&gt;</t>
    </r>
    <phoneticPr fontId="1"/>
  </si>
  <si>
    <t>幼名</t>
    <rPh sb="0" eb="2">
      <t>ヨウミョウ</t>
    </rPh>
    <phoneticPr fontId="1"/>
  </si>
  <si>
    <t>&lt;/th&gt;</t>
    <phoneticPr fontId="1"/>
  </si>
  <si>
    <t>&lt;th class="table_th"&gt;</t>
    <phoneticPr fontId="1"/>
  </si>
  <si>
    <t>別名</t>
    <rPh sb="0" eb="2">
      <t>ベツメイ</t>
    </rPh>
    <phoneticPr fontId="1"/>
  </si>
  <si>
    <t>&lt;td&gt;</t>
    <phoneticPr fontId="1"/>
  </si>
  <si>
    <t>&lt;/td&gt;</t>
  </si>
  <si>
    <t>-</t>
    <phoneticPr fontId="1"/>
  </si>
  <si>
    <t>&lt;/table&gt;</t>
    <phoneticPr fontId="1"/>
  </si>
  <si>
    <r>
      <rPr>
        <sz val="11"/>
        <color rgb="FF808080"/>
        <rFont val="Consolas"/>
        <family val="3"/>
      </rPr>
      <t>&lt;</t>
    </r>
    <r>
      <rPr>
        <sz val="11"/>
        <color rgb="FF569CD6"/>
        <rFont val="Consolas"/>
        <family val="3"/>
      </rPr>
      <t>table</t>
    </r>
    <r>
      <rPr>
        <sz val="11"/>
        <color rgb="FF808080"/>
        <rFont val="Consolas"/>
        <family val="3"/>
      </rPr>
      <t>&gt;</t>
    </r>
    <phoneticPr fontId="1"/>
  </si>
  <si>
    <t>&lt;tr&gt;&lt;th class="table_th"&gt;</t>
    <phoneticPr fontId="1"/>
  </si>
  <si>
    <t>生年</t>
    <rPh sb="0" eb="2">
      <t>セイネン</t>
    </rPh>
    <phoneticPr fontId="1"/>
  </si>
  <si>
    <t>没年</t>
    <rPh sb="0" eb="2">
      <t>ボツネン</t>
    </rPh>
    <phoneticPr fontId="1"/>
  </si>
  <si>
    <t>年&lt;/td&gt;</t>
    <rPh sb="0" eb="1">
      <t>ネン</t>
    </rPh>
    <phoneticPr fontId="1"/>
  </si>
  <si>
    <t>父親</t>
    <rPh sb="0" eb="2">
      <t>チチオヤ</t>
    </rPh>
    <phoneticPr fontId="1"/>
  </si>
  <si>
    <t>母親</t>
    <rPh sb="0" eb="2">
      <t>ハハオヤ</t>
    </rPh>
    <phoneticPr fontId="1"/>
  </si>
  <si>
    <t>&lt;/td&gt;</t>
    <phoneticPr fontId="1"/>
  </si>
  <si>
    <t>兄弟</t>
    <rPh sb="0" eb="2">
      <t>キョウダイ</t>
    </rPh>
    <phoneticPr fontId="1"/>
  </si>
  <si>
    <t>配偶者</t>
    <rPh sb="0" eb="3">
      <t>ハイグウシャ</t>
    </rPh>
    <phoneticPr fontId="1"/>
  </si>
  <si>
    <t>基礎情報</t>
    <rPh sb="0" eb="4">
      <t>キソジョウホウ</t>
    </rPh>
    <phoneticPr fontId="1"/>
  </si>
  <si>
    <t>タイトル</t>
    <phoneticPr fontId="1"/>
  </si>
  <si>
    <t>ヘッダ</t>
    <phoneticPr fontId="1"/>
  </si>
  <si>
    <t>基礎情報</t>
    <rPh sb="0" eb="2">
      <t>キソ</t>
    </rPh>
    <rPh sb="2" eb="4">
      <t>ジョウホウ</t>
    </rPh>
    <phoneticPr fontId="1"/>
  </si>
  <si>
    <t>一言メモ</t>
    <rPh sb="0" eb="2">
      <t>ヒトコト</t>
    </rPh>
    <phoneticPr fontId="1"/>
  </si>
  <si>
    <t>メモ</t>
    <phoneticPr fontId="1"/>
  </si>
  <si>
    <r>
      <rPr>
        <sz val="11"/>
        <color rgb="FF808080"/>
        <rFont val="Consolas"/>
        <family val="3"/>
      </rPr>
      <t>&lt;</t>
    </r>
    <r>
      <rPr>
        <sz val="11"/>
        <color rgb="FF569CD6"/>
        <rFont val="Consolas"/>
        <family val="3"/>
      </rPr>
      <t>h3</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"common_h3"</t>
    </r>
    <r>
      <rPr>
        <sz val="11"/>
        <color rgb="FF808080"/>
        <rFont val="Consolas"/>
        <family val="3"/>
      </rPr>
      <t>&gt;</t>
    </r>
    <phoneticPr fontId="1"/>
  </si>
  <si>
    <t>&lt;/h3&gt;</t>
  </si>
  <si>
    <t>半生</t>
    <rPh sb="0" eb="2">
      <t>ハンセイ</t>
    </rPh>
    <phoneticPr fontId="1"/>
  </si>
  <si>
    <r>
      <rPr>
        <sz val="11"/>
        <color rgb="FF808080"/>
        <rFont val="Consolas"/>
        <family val="3"/>
      </rPr>
      <t>&lt;</t>
    </r>
    <r>
      <rPr>
        <sz val="11"/>
        <color rgb="FF569CD6"/>
        <rFont val="Consolas"/>
        <family val="3"/>
      </rPr>
      <t>div</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"contents_h4"</t>
    </r>
    <r>
      <rPr>
        <sz val="11"/>
        <color rgb="FF808080"/>
        <rFont val="Consolas"/>
        <family val="3"/>
      </rPr>
      <t>&gt;</t>
    </r>
    <phoneticPr fontId="1"/>
  </si>
  <si>
    <t>&lt;/h5&gt;</t>
  </si>
  <si>
    <t>出典</t>
    <rPh sb="0" eb="2">
      <t>シュッテン</t>
    </rPh>
    <phoneticPr fontId="1"/>
  </si>
  <si>
    <r>
      <rPr>
        <sz val="11"/>
        <color rgb="FF808080"/>
        <rFont val="Consolas"/>
        <family val="3"/>
      </rPr>
      <t>&lt;</t>
    </r>
    <r>
      <rPr>
        <sz val="11"/>
        <color rgb="FF569CD6"/>
        <rFont val="Consolas"/>
        <family val="3"/>
      </rPr>
      <t>div</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"syutten"</t>
    </r>
    <r>
      <rPr>
        <sz val="11"/>
        <color rgb="FF808080"/>
        <rFont val="Consolas"/>
        <family val="3"/>
      </rPr>
      <t>&gt;</t>
    </r>
    <phoneticPr fontId="1"/>
  </si>
  <si>
    <t>【出典】</t>
  </si>
  <si>
    <r>
      <t>&lt;/</t>
    </r>
    <r>
      <rPr>
        <sz val="11"/>
        <color rgb="FF569CD6"/>
        <rFont val="Consolas"/>
        <family val="3"/>
      </rPr>
      <t>html</t>
    </r>
    <r>
      <rPr>
        <sz val="11"/>
        <color rgb="FF808080"/>
        <rFont val="Consolas"/>
        <family val="3"/>
      </rPr>
      <t>&gt;</t>
    </r>
  </si>
  <si>
    <t>年表</t>
  </si>
  <si>
    <t>年表</t>
    <rPh sb="0" eb="2">
      <t>ネンピョウ</t>
    </rPh>
    <phoneticPr fontId="1"/>
  </si>
  <si>
    <r>
      <rPr>
        <sz val="11"/>
        <color rgb="FF808080"/>
        <rFont val="Consolas"/>
        <family val="3"/>
      </rPr>
      <t>&lt;/</t>
    </r>
    <r>
      <rPr>
        <sz val="11"/>
        <color rgb="FF569CD6"/>
        <rFont val="Consolas"/>
        <family val="3"/>
      </rPr>
      <t>table</t>
    </r>
    <r>
      <rPr>
        <sz val="11"/>
        <color rgb="FF808080"/>
        <rFont val="Consolas"/>
        <family val="3"/>
      </rPr>
      <t>&gt;</t>
    </r>
    <phoneticPr fontId="1"/>
  </si>
  <si>
    <r>
      <rPr>
        <sz val="11"/>
        <color rgb="FF808080"/>
        <rFont val="Consolas"/>
        <family val="3"/>
      </rPr>
      <t>&lt;</t>
    </r>
    <r>
      <rPr>
        <sz val="11"/>
        <color rgb="FF569CD6"/>
        <rFont val="Consolas"/>
        <family val="3"/>
      </rPr>
      <t>table</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"nenpyo"</t>
    </r>
    <r>
      <rPr>
        <sz val="11"/>
        <color rgb="FF808080"/>
        <rFont val="Consolas"/>
        <family val="3"/>
      </rPr>
      <t>&gt;</t>
    </r>
    <phoneticPr fontId="1"/>
  </si>
  <si>
    <r>
      <rPr>
        <sz val="11"/>
        <color rgb="FF808080"/>
        <rFont val="Consolas"/>
        <family val="3"/>
      </rPr>
      <t>&lt;</t>
    </r>
    <r>
      <rPr>
        <sz val="11"/>
        <color rgb="FF569CD6"/>
        <rFont val="Consolas"/>
        <family val="3"/>
      </rPr>
      <t>div</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"category_area"</t>
    </r>
    <r>
      <rPr>
        <sz val="11"/>
        <color rgb="FF808080"/>
        <rFont val="Consolas"/>
        <family val="3"/>
      </rPr>
      <t>&gt;</t>
    </r>
    <phoneticPr fontId="1"/>
  </si>
  <si>
    <r>
      <rPr>
        <sz val="11"/>
        <color rgb="FF808080"/>
        <rFont val="Consolas"/>
        <family val="3"/>
      </rPr>
      <t>&lt;</t>
    </r>
    <r>
      <rPr>
        <sz val="11"/>
        <color rgb="FF569CD6"/>
        <rFont val="Consolas"/>
        <family val="3"/>
      </rPr>
      <t>div</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"common_footer"</t>
    </r>
    <r>
      <rPr>
        <sz val="11"/>
        <color rgb="FF808080"/>
        <rFont val="Consolas"/>
        <family val="3"/>
      </rPr>
      <t>&gt;</t>
    </r>
    <phoneticPr fontId="1"/>
  </si>
  <si>
    <r>
      <rPr>
        <sz val="11"/>
        <color rgb="FF808080"/>
        <rFont val="Consolas"/>
        <family val="3"/>
      </rPr>
      <t>&lt;/</t>
    </r>
    <r>
      <rPr>
        <sz val="11"/>
        <color rgb="FF569CD6"/>
        <rFont val="Consolas"/>
        <family val="3"/>
      </rPr>
      <t>body</t>
    </r>
    <r>
      <rPr>
        <sz val="11"/>
        <color rgb="FF808080"/>
        <rFont val="Consolas"/>
        <family val="3"/>
      </rPr>
      <t>&gt;</t>
    </r>
    <phoneticPr fontId="1"/>
  </si>
  <si>
    <t>&lt;/a&gt;</t>
  </si>
  <si>
    <t>松浦氏</t>
    <phoneticPr fontId="1"/>
  </si>
  <si>
    <t>&lt;/a&gt;</t>
    <phoneticPr fontId="1"/>
  </si>
  <si>
    <t>戦国時代</t>
  </si>
  <si>
    <t>&lt;/a&gt;&lt;/p&gt;</t>
  </si>
  <si>
    <t>TOPへ戻る</t>
  </si>
  <si>
    <t>日本へ戻る</t>
  </si>
  <si>
    <r>
      <rPr>
        <sz val="11"/>
        <color rgb="FF808080"/>
        <rFont val="Consolas"/>
        <family val="3"/>
      </rPr>
      <t>&lt;</t>
    </r>
    <r>
      <rPr>
        <sz val="11"/>
        <color rgb="FF569CD6"/>
        <rFont val="Consolas"/>
        <family val="3"/>
      </rPr>
      <t>p</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"link"</t>
    </r>
    <r>
      <rPr>
        <sz val="11"/>
        <color rgb="FF808080"/>
        <rFont val="Consolas"/>
        <family val="3"/>
      </rPr>
      <t>&gt;&lt;</t>
    </r>
    <r>
      <rPr>
        <sz val="11"/>
        <color rgb="FF569CD6"/>
        <rFont val="Consolas"/>
        <family val="3"/>
      </rPr>
      <t>a</t>
    </r>
    <r>
      <rPr>
        <sz val="11"/>
        <color rgb="FFCCCCCC"/>
        <rFont val="Consolas"/>
        <family val="3"/>
      </rPr>
      <t xml:space="preserve"> </t>
    </r>
    <r>
      <rPr>
        <sz val="11"/>
        <color rgb="FF9CDCFE"/>
        <rFont val="Consolas"/>
        <family val="3"/>
      </rPr>
      <t>href</t>
    </r>
    <r>
      <rPr>
        <sz val="11"/>
        <color rgb="FFCCCCCC"/>
        <rFont val="Consolas"/>
        <family val="3"/>
      </rPr>
      <t>=</t>
    </r>
    <r>
      <rPr>
        <sz val="11"/>
        <color rgb="FFCE9178"/>
        <rFont val="Consolas"/>
        <family val="3"/>
      </rPr>
      <t>"../</t>
    </r>
    <phoneticPr fontId="1"/>
  </si>
  <si>
    <t>japan_index.html"&gt;</t>
  </si>
  <si>
    <r>
      <rPr>
        <sz val="11"/>
        <color rgb="FF808080"/>
        <rFont val="Consolas"/>
        <family val="3"/>
      </rPr>
      <t>&lt;</t>
    </r>
    <r>
      <rPr>
        <sz val="11"/>
        <color rgb="FF569CD6"/>
        <rFont val="Consolas"/>
        <family val="3"/>
      </rPr>
      <t>a</t>
    </r>
    <r>
      <rPr>
        <sz val="11"/>
        <color rgb="FFCCCCCC"/>
        <rFont val="Consolas"/>
        <family val="3"/>
      </rPr>
      <t xml:space="preserve"> </t>
    </r>
    <r>
      <rPr>
        <sz val="11"/>
        <color rgb="FF9CDCFE"/>
        <rFont val="Consolas"/>
        <family val="3"/>
      </rPr>
      <t>calss</t>
    </r>
    <r>
      <rPr>
        <sz val="11"/>
        <color rgb="FFCCCCCC"/>
        <rFont val="Consolas"/>
        <family val="3"/>
      </rPr>
      <t>=</t>
    </r>
    <r>
      <rPr>
        <sz val="11"/>
        <color rgb="FFCE9178"/>
        <rFont val="Consolas"/>
        <family val="3"/>
      </rPr>
      <t>"category"</t>
    </r>
    <r>
      <rPr>
        <sz val="11"/>
        <color rgb="FFCCCCCC"/>
        <rFont val="Consolas"/>
        <family val="3"/>
      </rPr>
      <t xml:space="preserve"> </t>
    </r>
    <r>
      <rPr>
        <sz val="11"/>
        <color rgb="FF9CDCFE"/>
        <rFont val="Consolas"/>
        <family val="3"/>
      </rPr>
      <t>href</t>
    </r>
    <r>
      <rPr>
        <sz val="11"/>
        <color rgb="FFCCCCCC"/>
        <rFont val="Consolas"/>
        <family val="3"/>
      </rPr>
      <t>=</t>
    </r>
    <r>
      <rPr>
        <sz val="11"/>
        <color rgb="FFCE9178"/>
        <rFont val="Consolas"/>
        <family val="3"/>
      </rPr>
      <t>"../../../</t>
    </r>
    <phoneticPr fontId="1"/>
  </si>
  <si>
    <t>category_index/index_history_of_sengoku.html"&gt;</t>
  </si>
  <si>
    <t>category_index/index_uji_matsura.html"&gt;</t>
  </si>
  <si>
    <r>
      <rPr>
        <sz val="11"/>
        <color rgb="FF808080"/>
        <rFont val="Consolas"/>
        <family val="3"/>
      </rPr>
      <t>&lt;</t>
    </r>
    <r>
      <rPr>
        <sz val="11"/>
        <color rgb="FF569CD6"/>
        <rFont val="Consolas"/>
        <family val="3"/>
      </rPr>
      <t>p</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"link"</t>
    </r>
    <r>
      <rPr>
        <sz val="11"/>
        <color rgb="FF808080"/>
        <rFont val="Consolas"/>
        <family val="3"/>
      </rPr>
      <t>&gt;&lt;</t>
    </r>
    <r>
      <rPr>
        <sz val="11"/>
        <color rgb="FF569CD6"/>
        <rFont val="Consolas"/>
        <family val="3"/>
      </rPr>
      <t>a</t>
    </r>
    <r>
      <rPr>
        <sz val="11"/>
        <color rgb="FFCCCCCC"/>
        <rFont val="Consolas"/>
        <family val="3"/>
      </rPr>
      <t xml:space="preserve"> </t>
    </r>
    <r>
      <rPr>
        <sz val="11"/>
        <color rgb="FF9CDCFE"/>
        <rFont val="Consolas"/>
        <family val="3"/>
      </rPr>
      <t>href</t>
    </r>
    <r>
      <rPr>
        <sz val="11"/>
        <color rgb="FFCCCCCC"/>
        <rFont val="Consolas"/>
        <family val="3"/>
      </rPr>
      <t>=</t>
    </r>
    <r>
      <rPr>
        <sz val="11"/>
        <color rgb="FFCE9178"/>
        <rFont val="Consolas"/>
        <family val="3"/>
      </rPr>
      <t>"../../../</t>
    </r>
    <phoneticPr fontId="1"/>
  </si>
  <si>
    <t>index.html"&gt;</t>
  </si>
  <si>
    <t>戦国武将列伝7 畿内編上 より</t>
    <phoneticPr fontId="1"/>
  </si>
  <si>
    <r>
      <rPr>
        <sz val="11"/>
        <color rgb="FF808080"/>
        <rFont val="Consolas"/>
        <family val="3"/>
      </rPr>
      <t>&lt;</t>
    </r>
    <r>
      <rPr>
        <sz val="11"/>
        <color rgb="FF569CD6"/>
        <rFont val="Consolas"/>
        <family val="3"/>
      </rPr>
      <t>h5</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"common_h5"</t>
    </r>
    <r>
      <rPr>
        <sz val="11"/>
        <color rgb="FF808080"/>
        <rFont val="Consolas"/>
        <family val="3"/>
      </rPr>
      <t>&gt;</t>
    </r>
    <phoneticPr fontId="1"/>
  </si>
  <si>
    <r>
      <rPr>
        <sz val="11"/>
        <color rgb="FF808080"/>
        <rFont val="Consolas"/>
        <family val="3"/>
      </rPr>
      <t>&lt;</t>
    </r>
    <r>
      <rPr>
        <sz val="11"/>
        <color rgb="FF569CD6"/>
        <rFont val="Consolas"/>
        <family val="3"/>
      </rPr>
      <t>div</t>
    </r>
    <r>
      <rPr>
        <sz val="11"/>
        <color rgb="FFCCCCCC"/>
        <rFont val="Consolas"/>
        <family val="3"/>
      </rPr>
      <t xml:space="preserve"> </t>
    </r>
    <r>
      <rPr>
        <sz val="11"/>
        <color rgb="FF9CDCFE"/>
        <rFont val="Consolas"/>
        <family val="3"/>
      </rPr>
      <t>class</t>
    </r>
    <r>
      <rPr>
        <sz val="11"/>
        <color rgb="FFCCCCCC"/>
        <rFont val="Consolas"/>
        <family val="3"/>
      </rPr>
      <t>=</t>
    </r>
    <r>
      <rPr>
        <sz val="11"/>
        <color rgb="FFCE9178"/>
        <rFont val="Consolas"/>
        <family val="3"/>
      </rPr>
      <t>"contents_h5"</t>
    </r>
    <r>
      <rPr>
        <sz val="11"/>
        <color rgb="FF808080"/>
        <rFont val="Consolas"/>
        <family val="3"/>
      </rPr>
      <t>&gt;</t>
    </r>
    <phoneticPr fontId="1"/>
  </si>
  <si>
    <t>&lt;/h3&gt;</t>
    <phoneticPr fontId="1"/>
  </si>
  <si>
    <t>&lt;br&gt;</t>
  </si>
  <si>
    <t>&lt;br&gt;</t>
    <phoneticPr fontId="1"/>
  </si>
  <si>
    <t>カテゴリ</t>
    <phoneticPr fontId="1"/>
  </si>
  <si>
    <t>フッタ</t>
    <phoneticPr fontId="1"/>
  </si>
  <si>
    <t>小題</t>
    <rPh sb="0" eb="2">
      <t>ショウダイ</t>
    </rPh>
    <phoneticPr fontId="1"/>
  </si>
  <si>
    <t>&lt;/title&gt;</t>
    <phoneticPr fontId="1"/>
  </si>
  <si>
    <t>&lt;/td&gt;&lt;/tr&gt;</t>
    <phoneticPr fontId="1"/>
  </si>
  <si>
    <t>年&lt;/td&gt;&lt;/tr&gt;</t>
    <rPh sb="0" eb="1">
      <t>ネン</t>
    </rPh>
    <phoneticPr fontId="1"/>
  </si>
  <si>
    <t>守は松浦総領家ではなかったようで、それでも家督を継いでいた。この理由は、もしかしたら細川元常と兄弟で、松浦家に養子に出たのでは…という説もあるらしい。</t>
    <phoneticPr fontId="1"/>
  </si>
  <si>
    <t>松浦守は、和泉上守護代、後に和泉を支配した戦国大名である。</t>
    <phoneticPr fontId="1"/>
  </si>
  <si>
    <t>和泉上守護細川元常の元で和泉上守護代として活動していたが、実態はほぼわかっていない。守の資料による初出は、1501（文亀元）年、和泉守護所の都市堺に滞在しているところで、このころは「年少」で「五郎次郎」と名乗っていたようだ。</t>
    <phoneticPr fontId="1"/>
  </si>
  <si>
    <t>和泉上守護代時代</t>
    <phoneticPr fontId="1"/>
  </si>
  <si>
    <t>守は1524（大永4）年に澄元の息子の晴元に従って和泉の菱木で高国と戦い、また、1527（大永7）年の桂川合戦の時にも晴元方として高国方を破っていた。こうしたことから、守は和泉での勢力維持のために元常-晴元派と高国方に二股をかけていたのかもしれない。</t>
    <phoneticPr fontId="1"/>
  </si>
  <si>
    <t>1531（享禄4）年、高国が大物崩れで敗亡すると、高国方の和泉守護も姿を消したため、天文年間（1532～1555）年の初期には細川元常とその子晴貞が単独の和泉守護となる体制となり、守は単独の守護代となった。</t>
    <phoneticPr fontId="1"/>
  </si>
  <si>
    <t>細川家の争乱と守の活動</t>
    <phoneticPr fontId="1"/>
  </si>
  <si>
    <t>単独守護代としての和泉支配と細川晴元方としての活躍</t>
    <phoneticPr fontId="1"/>
  </si>
  <si>
    <t>1542（天文11）年、和泉の有力国人玉井氏が細川氏綱や河内の畠山植長と結んで反乱を起こすと、守は敗れて堺に「蟄居」した。しかしすぐに和泉牢人衆を糾合して反撃、玉井氏の一族を破った。翌1543（天文12）年にも摂津・堺・和泉各地で玉井氏や細川氏綱と戦い、撃退した。</t>
    <phoneticPr fontId="1"/>
  </si>
  <si>
    <t>1547（天文16）年の摂津舎利寺合戦でも細川晴元・三好長慶軍の先鋒を務めた守は活躍し、細川氏綱・畠山植長を打ち破った。この時期までは守は晴元方を支える有力武将であった。</t>
    <phoneticPr fontId="1"/>
  </si>
  <si>
    <t>守護からの自立と和泉最大の勢力への脱皮</t>
    <phoneticPr fontId="1"/>
  </si>
  <si>
    <t>1548（天文17）年10月、守は晴元や元常・と決別する。この時期に細川晴元と三好長慶は対立、守は長慶に属したのである。長慶は同1548（天文17）年の江口合戦で晴元方を破り、晴元は没落する。これにより元常・晴貞の和泉守護家も没落し、守が和泉最大の勢力となる。江口合戦の直後の9月、河内畠山氏と結ぶ根来衆が襲来するも守は堺に籠ってこれを防いだ。</t>
    <phoneticPr fontId="1"/>
  </si>
  <si>
    <t>守は天文年間後半には60代の恒例だったと考えられ、弘治（1555～1558）年間に没したと考えられる。守の支配権は和泉の大鳥郡・和泉郡・南群と日根群の一部に及び、その勢力圏は織田政権に至るまで概ね維持されていく。</t>
    <phoneticPr fontId="1"/>
  </si>
  <si>
    <t>守が没した後の松浦氏は幼少の松浦萬満を当主とし、十河一存と萬満の養父松浦守盛が補佐する体制となり、一存は松浦氏の本拠岸和田城に入っている。守は堺を本拠としたが、守亡き後の松浦氏は岸和田城を本拠とした。</t>
    <phoneticPr fontId="1"/>
  </si>
  <si>
    <t>1507（永正４）年、京兆家の細川政元が暗殺され、京兆家が二分されると、和泉守護家は上守護の元常が澄元方、下守護家が高国方に付いた。1527（大永7）年、高野山金剛峰寺の修理勧進帳に、松浦守は高国や河内畠山氏内衆らとともに署判している。この勧進帳は永正年間（1504～1521）の間に作成されたとされ、そうなると守は元常から一時離反したことになるが、この頃のこともよくわかっていないようだ。</t>
    <phoneticPr fontId="1"/>
  </si>
  <si>
    <t>大永～享禄期（1528～1532年）に、武士・寺社・村落に対する守の発給文書が増える。つまり守の和泉制圧が進んだことを示し、元常が和泉にいない状況下で高国方と関係を持ちつつ和泉の支配を担っていた。また、1527（大永7）年12月、肥前守にはを称し、これが後の当主に受け継がれていく。</t>
    <phoneticPr fontId="1"/>
  </si>
  <si>
    <t>天文年間の守は単独の和泉守護代として、和泉に在国して守護所の堺にあり、分国支配を担った。その一方で奉行や小郡代を編成し、守護被官の日根野氏や高槻氏を自身の内衆として組織したまた、和泉南部の野田山城（のちの根福寺城）を築城し、根来寺の抑えとした。さらに大阪本願寺とも独自に交渉を行った。こうしたことから、守の自立化が伺え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</si>
</sst>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メイリオ"/>
      <family val="2"/>
      <charset val="128"/>
    </font>
    <font>
      <sz val="6"/>
      <name val="メイリオ"/>
      <family val="2"/>
      <charset val="128"/>
    </font>
    <font>
      <sz val="11"/>
      <color rgb="FFCCCCCC"/>
      <name val="Consolas"/>
      <family val="3"/>
    </font>
    <font>
      <sz val="11"/>
      <color rgb="FF808080"/>
      <name val="Consolas"/>
      <family val="3"/>
    </font>
    <font>
      <sz val="11"/>
      <color rgb="FF569CD6"/>
      <name val="Consolas"/>
      <family val="3"/>
    </font>
    <font>
      <sz val="11"/>
      <color rgb="FF9CDCFE"/>
      <name val="Consolas"/>
      <family val="3"/>
    </font>
    <font>
      <sz val="11"/>
      <color rgb="FFCE9178"/>
      <name val="Consolas"/>
      <family val="3"/>
    </font>
    <font>
      <sz val="11"/>
      <color rgb="FFCCCCCC"/>
      <name val="Consolas"/>
      <family val="1"/>
      <charset val="128"/>
    </font>
  </fonts>
  <fills count="4">
    <fill>
      <patternFill patternType="none"/>
    </fill>
    <fill>
      <patternFill patternType="gray125"/>
    </fill>
    <fill>
      <patternFill patternType="solid">
        <fgColor rgb="FFCCFFFF"/>
        <bgColor indexed="64"/>
      </patternFill>
    </fill>
    <fill>
      <patternFill patternType="solid">
        <fgColor rgb="FFCCFFCC"/>
        <bgColor indexed="64"/>
      </patternFill>
    </fill>
  </fills>
  <borders count="2">
    <border>
      <left/>
      <right/>
      <top/>
      <bottom/>
      <diagonal/>
    </border>
    <border>
      <left style="medium">
        <color auto="1"/>
      </left>
      <right/>
      <top/>
      <bottom/>
      <diagonal/>
    </border>
  </borders>
  <cellStyleXfs count="1">
    <xf numFmtId="0" fontId="0" fillId="0" borderId="0">
      <alignment vertical="center"/>
    </xf>
  </cellStyleXfs>
  <cellXfs count="7">
    <xf numFmtId="0" fontId="0" fillId="0" borderId="0" xfId="0">
      <alignment vertical="center"/>
    </xf>
    <xf numFmtId="0" fontId="3" fillId="0" borderId="0" xfId="0" applyFont="1">
      <alignment vertical="center"/>
    </xf>
    <xf numFmtId="0" fontId="2" fillId="0" borderId="0" xfId="0" applyFont="1">
      <alignment vertical="center"/>
    </xf>
    <xf numFmtId="0" fontId="0" fillId="2" borderId="0" xfId="0" applyFill="1">
      <alignment vertical="center"/>
    </xf>
    <xf numFmtId="0" fontId="7" fillId="0" borderId="0" xfId="0" applyFont="1">
      <alignment vertical="center"/>
    </xf>
    <xf numFmtId="0" fontId="0" fillId="0" borderId="1" xfId="0" applyBorder="1">
      <alignment vertical="center"/>
    </xf>
    <xf numFmtId="0" fontId="0" fillId="3" borderId="0" xfId="0" applyFill="1">
      <alignment vertical="center"/>
    </xf>
  </cellXfs>
  <cellStyles count="1">
    <cellStyle name="標準" xfId="0" builtinId="0"/>
  </cellStyles>
  <dxfs count="0"/>
  <tableStyles count="0" defaultTableStyle="TableStyleMedium2" defaultPivotStyle="PivotStyleLight16"/>
  <colors>
    <mruColors>
      <color rgb="FFCC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0CFA-94BF-4DA2-9A11-9544C85CD5D4}">
  <dimension ref="A1:G89"/>
  <sheetViews>
    <sheetView showGridLines="0" tabSelected="1" zoomScale="85" zoomScaleNormal="85" workbookViewId="0">
      <pane xSplit="2" ySplit="1" topLeftCell="C24" activePane="bottomRight" state="frozen"/>
      <selection pane="topRight" activeCell="C1" sqref="C1"/>
      <selection pane="bottomLeft" activeCell="A2" sqref="A2"/>
      <selection pane="bottomRight" activeCell="C43" sqref="C43"/>
    </sheetView>
  </sheetViews>
  <sheetFormatPr defaultRowHeight="18.75" x14ac:dyDescent="0.45"/>
  <cols>
    <col min="3" max="3" width="38.5546875" customWidth="1"/>
    <col min="4" max="4" width="45.21875" bestFit="1" customWidth="1"/>
    <col min="5" max="5" width="25" bestFit="1" customWidth="1"/>
    <col min="6" max="6" width="10.44140625" bestFit="1" customWidth="1"/>
    <col min="7" max="7" width="8.88671875" style="5"/>
  </cols>
  <sheetData>
    <row r="1" spans="1:7" x14ac:dyDescent="0.45">
      <c r="B1" t="s">
        <v>2</v>
      </c>
      <c r="C1" s="3" t="s">
        <v>3</v>
      </c>
      <c r="D1">
        <v>2</v>
      </c>
    </row>
    <row r="2" spans="1:7" x14ac:dyDescent="0.45">
      <c r="B2">
        <v>0</v>
      </c>
      <c r="C2" s="1" t="s">
        <v>0</v>
      </c>
      <c r="E2" s="1"/>
      <c r="G2" s="5" t="str">
        <f>_xlfn.TEXTJOIN("",TRUE,REPT(" ",B2*$D$1),C2:F2)</f>
        <v>&lt;!DOCTYPE html&gt;</v>
      </c>
    </row>
    <row r="3" spans="1:7" x14ac:dyDescent="0.45">
      <c r="B3">
        <v>0</v>
      </c>
      <c r="C3" s="1" t="s">
        <v>1</v>
      </c>
      <c r="E3" s="1"/>
      <c r="G3" s="5" t="str">
        <f t="shared" ref="G3:G87" si="0">_xlfn.TEXTJOIN("",TRUE,REPT(" ",B3*$D$1),C3:F3)</f>
        <v>&lt;html lang="en" dir="ltr"&gt;</v>
      </c>
    </row>
    <row r="4" spans="1:7" x14ac:dyDescent="0.45">
      <c r="A4" t="s">
        <v>40</v>
      </c>
      <c r="B4">
        <v>1</v>
      </c>
      <c r="C4" s="2" t="s">
        <v>4</v>
      </c>
      <c r="E4" s="2"/>
      <c r="G4" s="5" t="str">
        <f t="shared" si="0"/>
        <v xml:space="preserve">  &lt;head&gt;</v>
      </c>
    </row>
    <row r="5" spans="1:7" x14ac:dyDescent="0.45">
      <c r="B5">
        <v>2</v>
      </c>
      <c r="C5" s="2" t="s">
        <v>5</v>
      </c>
      <c r="E5" s="2"/>
      <c r="G5" s="5" t="str">
        <f t="shared" si="0"/>
        <v xml:space="preserve">    &lt;meta charset="utf-8"&gt;</v>
      </c>
    </row>
    <row r="6" spans="1:7" x14ac:dyDescent="0.45">
      <c r="B6">
        <v>2</v>
      </c>
      <c r="C6" s="2" t="s">
        <v>6</v>
      </c>
      <c r="E6" s="2"/>
      <c r="G6" s="5" t="str">
        <f t="shared" si="0"/>
        <v xml:space="preserve">    &lt;meta name="viewport" content="width=device-width,initial-scale=1.0,user-scalable=yes" /&gt;</v>
      </c>
    </row>
    <row r="7" spans="1:7" x14ac:dyDescent="0.45">
      <c r="B7">
        <v>2</v>
      </c>
      <c r="C7" s="2" t="s">
        <v>7</v>
      </c>
      <c r="E7" s="2"/>
      <c r="G7" s="5" t="str">
        <f t="shared" si="0"/>
        <v xml:space="preserve">    &lt;link rel="stylesheet" href="../../../css/common.css"&gt;</v>
      </c>
    </row>
    <row r="8" spans="1:7" x14ac:dyDescent="0.45">
      <c r="B8">
        <v>2</v>
      </c>
      <c r="C8" s="2" t="s">
        <v>8</v>
      </c>
      <c r="E8" s="2"/>
      <c r="G8" s="5" t="str">
        <f t="shared" si="0"/>
        <v xml:space="preserve">    &lt;link rel="stylesheet" href="../../../css/table.css"&gt;</v>
      </c>
    </row>
    <row r="9" spans="1:7" x14ac:dyDescent="0.45">
      <c r="B9">
        <v>2</v>
      </c>
      <c r="C9" s="2" t="s">
        <v>9</v>
      </c>
      <c r="E9" s="2"/>
      <c r="G9" s="5" t="str">
        <f t="shared" si="0"/>
        <v xml:space="preserve">    &lt;link rel="icon" type="image/png" href="../../../img/pochama.png"&gt;</v>
      </c>
    </row>
    <row r="10" spans="1:7" x14ac:dyDescent="0.45">
      <c r="A10" t="s">
        <v>39</v>
      </c>
      <c r="B10">
        <v>2</v>
      </c>
      <c r="C10" s="2" t="s">
        <v>10</v>
      </c>
      <c r="E10" t="str">
        <f>$C$1</f>
        <v>松浦守</v>
      </c>
      <c r="F10" t="s">
        <v>83</v>
      </c>
      <c r="G10" s="5" t="str">
        <f t="shared" si="0"/>
        <v xml:space="preserve">    &lt;title&gt;松浦守&lt;/title&gt;</v>
      </c>
    </row>
    <row r="11" spans="1:7" x14ac:dyDescent="0.45">
      <c r="B11">
        <v>1</v>
      </c>
      <c r="C11" s="2" t="s">
        <v>11</v>
      </c>
      <c r="G11" s="5" t="str">
        <f t="shared" si="0"/>
        <v xml:space="preserve">  &lt;/head&gt;</v>
      </c>
    </row>
    <row r="12" spans="1:7" x14ac:dyDescent="0.45">
      <c r="B12">
        <v>1</v>
      </c>
      <c r="C12" s="2" t="s">
        <v>17</v>
      </c>
      <c r="G12" s="5" t="str">
        <f t="shared" si="0"/>
        <v xml:space="preserve">  &lt;body&gt;</v>
      </c>
    </row>
    <row r="13" spans="1:7" x14ac:dyDescent="0.45">
      <c r="A13" t="s">
        <v>39</v>
      </c>
      <c r="B13">
        <v>2</v>
      </c>
      <c r="C13" s="2" t="s">
        <v>16</v>
      </c>
      <c r="G13" s="5" t="str">
        <f t="shared" si="0"/>
        <v xml:space="preserve">    &lt;div class="common_top"&gt;</v>
      </c>
    </row>
    <row r="14" spans="1:7" x14ac:dyDescent="0.45">
      <c r="B14">
        <v>3</v>
      </c>
      <c r="C14" s="2" t="s">
        <v>19</v>
      </c>
      <c r="E14" t="str">
        <f>$C$1</f>
        <v>松浦守</v>
      </c>
      <c r="F14" t="s">
        <v>18</v>
      </c>
      <c r="G14" s="5" t="str">
        <f t="shared" si="0"/>
        <v xml:space="preserve">      &lt;h2 class="title_h2"&gt;松浦守&lt;/h2&gt;</v>
      </c>
    </row>
    <row r="15" spans="1:7" x14ac:dyDescent="0.45">
      <c r="B15">
        <v>2</v>
      </c>
      <c r="C15" s="2" t="s">
        <v>13</v>
      </c>
      <c r="G15" s="5" t="str">
        <f t="shared" si="0"/>
        <v xml:space="preserve">    &lt;/div&gt;</v>
      </c>
    </row>
    <row r="16" spans="1:7" x14ac:dyDescent="0.45">
      <c r="B16">
        <v>2</v>
      </c>
      <c r="C16" s="2" t="s">
        <v>15</v>
      </c>
      <c r="G16" s="5" t="str">
        <f t="shared" si="0"/>
        <v xml:space="preserve">    &lt;div class="common_contents"&gt;</v>
      </c>
    </row>
    <row r="17" spans="1:7" x14ac:dyDescent="0.45">
      <c r="B17">
        <v>3</v>
      </c>
      <c r="C17" s="2" t="s">
        <v>44</v>
      </c>
      <c r="E17" t="s">
        <v>41</v>
      </c>
      <c r="F17" t="s">
        <v>77</v>
      </c>
      <c r="G17" s="5" t="str">
        <f t="shared" si="0"/>
        <v xml:space="preserve">      &lt;h3 class="common_h3"&gt;基礎情報&lt;/h3&gt;</v>
      </c>
    </row>
    <row r="18" spans="1:7" x14ac:dyDescent="0.45">
      <c r="A18" t="s">
        <v>38</v>
      </c>
      <c r="B18">
        <v>3</v>
      </c>
      <c r="C18" s="2" t="s">
        <v>14</v>
      </c>
      <c r="G18" s="5" t="str">
        <f t="shared" si="0"/>
        <v xml:space="preserve">      &lt;div class="dekigoto_info"&gt;</v>
      </c>
    </row>
    <row r="19" spans="1:7" x14ac:dyDescent="0.45">
      <c r="B19">
        <v>4</v>
      </c>
      <c r="C19" s="2" t="s">
        <v>28</v>
      </c>
      <c r="G19" s="5" t="str">
        <f t="shared" si="0"/>
        <v xml:space="preserve">        &lt;table&gt;</v>
      </c>
    </row>
    <row r="20" spans="1:7" x14ac:dyDescent="0.45">
      <c r="B20">
        <v>5</v>
      </c>
      <c r="C20" s="2" t="s">
        <v>29</v>
      </c>
      <c r="E20" t="s">
        <v>20</v>
      </c>
      <c r="F20" t="s">
        <v>21</v>
      </c>
      <c r="G20" s="5" t="str">
        <f t="shared" si="0"/>
        <v xml:space="preserve">          &lt;tr&gt;&lt;th class="table_th"&gt;幼名&lt;/th&gt;</v>
      </c>
    </row>
    <row r="21" spans="1:7" x14ac:dyDescent="0.45">
      <c r="B21">
        <v>5</v>
      </c>
      <c r="C21" s="2" t="s">
        <v>24</v>
      </c>
      <c r="E21" s="3" t="s">
        <v>26</v>
      </c>
      <c r="F21" t="s">
        <v>25</v>
      </c>
      <c r="G21" s="5" t="str">
        <f>_xlfn.TEXTJOIN("",TRUE,REPT(" ",B21*$D$1),C21:F21)</f>
        <v xml:space="preserve">          &lt;td&gt;-&lt;/td&gt;</v>
      </c>
    </row>
    <row r="22" spans="1:7" x14ac:dyDescent="0.45">
      <c r="B22">
        <v>5</v>
      </c>
      <c r="C22" s="2" t="s">
        <v>22</v>
      </c>
      <c r="E22" t="s">
        <v>23</v>
      </c>
      <c r="F22" t="s">
        <v>21</v>
      </c>
      <c r="G22" s="5" t="str">
        <f t="shared" si="0"/>
        <v xml:space="preserve">          &lt;th class="table_th"&gt;別名&lt;/th&gt;</v>
      </c>
    </row>
    <row r="23" spans="1:7" x14ac:dyDescent="0.45">
      <c r="B23">
        <v>5</v>
      </c>
      <c r="C23" s="2" t="s">
        <v>24</v>
      </c>
      <c r="E23" s="3" t="s">
        <v>26</v>
      </c>
      <c r="F23" t="s">
        <v>84</v>
      </c>
      <c r="G23" s="5" t="str">
        <f t="shared" si="0"/>
        <v xml:space="preserve">          &lt;td&gt;-&lt;/td&gt;&lt;/tr&gt;</v>
      </c>
    </row>
    <row r="24" spans="1:7" x14ac:dyDescent="0.45">
      <c r="B24">
        <v>5</v>
      </c>
      <c r="C24" s="2" t="s">
        <v>29</v>
      </c>
      <c r="E24" t="s">
        <v>30</v>
      </c>
      <c r="F24" t="s">
        <v>21</v>
      </c>
      <c r="G24" s="5" t="str">
        <f t="shared" si="0"/>
        <v xml:space="preserve">          &lt;tr&gt;&lt;th class="table_th"&gt;生年&lt;/th&gt;</v>
      </c>
    </row>
    <row r="25" spans="1:7" x14ac:dyDescent="0.45">
      <c r="B25">
        <v>5</v>
      </c>
      <c r="C25" s="2" t="s">
        <v>24</v>
      </c>
      <c r="E25" s="3" t="s">
        <v>26</v>
      </c>
      <c r="F25" t="s">
        <v>32</v>
      </c>
      <c r="G25" s="5" t="str">
        <f>_xlfn.TEXTJOIN("",TRUE,REPT(" ",B25*$D$1),C25:F25)</f>
        <v xml:space="preserve">          &lt;td&gt;-年&lt;/td&gt;</v>
      </c>
    </row>
    <row r="26" spans="1:7" x14ac:dyDescent="0.45">
      <c r="B26">
        <v>5</v>
      </c>
      <c r="C26" s="2" t="s">
        <v>22</v>
      </c>
      <c r="E26" t="s">
        <v>31</v>
      </c>
      <c r="F26" t="s">
        <v>21</v>
      </c>
      <c r="G26" s="5" t="str">
        <f t="shared" si="0"/>
        <v xml:space="preserve">          &lt;th class="table_th"&gt;没年&lt;/th&gt;</v>
      </c>
    </row>
    <row r="27" spans="1:7" x14ac:dyDescent="0.45">
      <c r="B27">
        <v>5</v>
      </c>
      <c r="C27" s="2" t="s">
        <v>24</v>
      </c>
      <c r="E27" s="3" t="s">
        <v>26</v>
      </c>
      <c r="F27" t="s">
        <v>85</v>
      </c>
      <c r="G27" s="5" t="str">
        <f t="shared" si="0"/>
        <v xml:space="preserve">          &lt;td&gt;-年&lt;/td&gt;&lt;/tr&gt;</v>
      </c>
    </row>
    <row r="28" spans="1:7" x14ac:dyDescent="0.45">
      <c r="B28">
        <v>5</v>
      </c>
      <c r="C28" s="2" t="s">
        <v>29</v>
      </c>
      <c r="E28" t="s">
        <v>33</v>
      </c>
      <c r="F28" t="s">
        <v>21</v>
      </c>
      <c r="G28" s="5" t="str">
        <f t="shared" si="0"/>
        <v xml:space="preserve">          &lt;tr&gt;&lt;th class="table_th"&gt;父親&lt;/th&gt;</v>
      </c>
    </row>
    <row r="29" spans="1:7" x14ac:dyDescent="0.45">
      <c r="B29">
        <v>5</v>
      </c>
      <c r="C29" s="2" t="s">
        <v>24</v>
      </c>
      <c r="E29" s="3" t="s">
        <v>26</v>
      </c>
      <c r="F29" t="s">
        <v>35</v>
      </c>
      <c r="G29" s="5" t="str">
        <f t="shared" si="0"/>
        <v xml:space="preserve">          &lt;td&gt;-&lt;/td&gt;</v>
      </c>
    </row>
    <row r="30" spans="1:7" x14ac:dyDescent="0.45">
      <c r="B30">
        <v>5</v>
      </c>
      <c r="C30" s="2" t="s">
        <v>22</v>
      </c>
      <c r="E30" t="s">
        <v>34</v>
      </c>
      <c r="F30" t="s">
        <v>21</v>
      </c>
      <c r="G30" s="5" t="str">
        <f>_xlfn.TEXTJOIN("",TRUE,REPT(" ",B30*$D$1),C30:F30)</f>
        <v xml:space="preserve">          &lt;th class="table_th"&gt;母親&lt;/th&gt;</v>
      </c>
    </row>
    <row r="31" spans="1:7" x14ac:dyDescent="0.45">
      <c r="B31">
        <v>5</v>
      </c>
      <c r="C31" s="2" t="s">
        <v>24</v>
      </c>
      <c r="E31" s="3" t="s">
        <v>26</v>
      </c>
      <c r="F31" t="s">
        <v>84</v>
      </c>
      <c r="G31" s="5" t="str">
        <f t="shared" si="0"/>
        <v xml:space="preserve">          &lt;td&gt;-&lt;/td&gt;&lt;/tr&gt;</v>
      </c>
    </row>
    <row r="32" spans="1:7" x14ac:dyDescent="0.45">
      <c r="B32">
        <v>5</v>
      </c>
      <c r="C32" s="2" t="s">
        <v>29</v>
      </c>
      <c r="E32" t="s">
        <v>36</v>
      </c>
      <c r="F32" t="s">
        <v>21</v>
      </c>
      <c r="G32" s="5" t="str">
        <f t="shared" si="0"/>
        <v xml:space="preserve">          &lt;tr&gt;&lt;th class="table_th"&gt;兄弟&lt;/th&gt;</v>
      </c>
    </row>
    <row r="33" spans="1:7" x14ac:dyDescent="0.45">
      <c r="B33">
        <v>5</v>
      </c>
      <c r="C33" s="2" t="s">
        <v>24</v>
      </c>
      <c r="E33" s="3" t="s">
        <v>26</v>
      </c>
      <c r="F33" t="s">
        <v>35</v>
      </c>
      <c r="G33" s="5" t="str">
        <f t="shared" si="0"/>
        <v xml:space="preserve">          &lt;td&gt;-&lt;/td&gt;</v>
      </c>
    </row>
    <row r="34" spans="1:7" x14ac:dyDescent="0.45">
      <c r="B34">
        <v>5</v>
      </c>
      <c r="C34" s="2" t="s">
        <v>22</v>
      </c>
      <c r="E34" t="s">
        <v>37</v>
      </c>
      <c r="F34" t="s">
        <v>21</v>
      </c>
      <c r="G34" s="5" t="str">
        <f>_xlfn.TEXTJOIN("",TRUE,REPT(" ",B34*$D$1),C34:F34)</f>
        <v xml:space="preserve">          &lt;th class="table_th"&gt;配偶者&lt;/th&gt;</v>
      </c>
    </row>
    <row r="35" spans="1:7" x14ac:dyDescent="0.45">
      <c r="B35">
        <v>5</v>
      </c>
      <c r="C35" s="2" t="s">
        <v>24</v>
      </c>
      <c r="E35" s="3" t="s">
        <v>26</v>
      </c>
      <c r="F35" t="s">
        <v>84</v>
      </c>
      <c r="G35" s="5" t="str">
        <f t="shared" si="0"/>
        <v xml:space="preserve">          &lt;td&gt;-&lt;/td&gt;&lt;/tr&gt;</v>
      </c>
    </row>
    <row r="36" spans="1:7" x14ac:dyDescent="0.45">
      <c r="B36">
        <v>4</v>
      </c>
      <c r="C36" s="2" t="s">
        <v>27</v>
      </c>
      <c r="G36" s="5" t="str">
        <f t="shared" si="0"/>
        <v xml:space="preserve">        &lt;/table&gt;</v>
      </c>
    </row>
    <row r="37" spans="1:7" x14ac:dyDescent="0.45">
      <c r="B37">
        <v>3</v>
      </c>
      <c r="C37" s="2" t="s">
        <v>12</v>
      </c>
      <c r="G37" s="5" t="str">
        <f t="shared" si="0"/>
        <v xml:space="preserve">      &lt;/div&gt;</v>
      </c>
    </row>
    <row r="38" spans="1:7" x14ac:dyDescent="0.45">
      <c r="B38">
        <v>2</v>
      </c>
      <c r="C38" s="2" t="s">
        <v>13</v>
      </c>
      <c r="G38" s="5" t="str">
        <f t="shared" si="0"/>
        <v xml:space="preserve">    &lt;/div&gt;</v>
      </c>
    </row>
    <row r="39" spans="1:7" x14ac:dyDescent="0.45">
      <c r="A39" t="s">
        <v>42</v>
      </c>
      <c r="B39">
        <v>2</v>
      </c>
      <c r="C39" s="2" t="s">
        <v>15</v>
      </c>
      <c r="G39" s="5" t="str">
        <f t="shared" si="0"/>
        <v xml:space="preserve">    &lt;div class="common_contents"&gt;</v>
      </c>
    </row>
    <row r="40" spans="1:7" x14ac:dyDescent="0.45">
      <c r="B40">
        <v>3</v>
      </c>
      <c r="C40" s="2" t="s">
        <v>44</v>
      </c>
      <c r="E40" t="s">
        <v>43</v>
      </c>
      <c r="F40" t="s">
        <v>45</v>
      </c>
      <c r="G40" s="5" t="str">
        <f t="shared" si="0"/>
        <v xml:space="preserve">      &lt;h3 class="common_h3"&gt;メモ&lt;/h3&gt;</v>
      </c>
    </row>
    <row r="41" spans="1:7" x14ac:dyDescent="0.45">
      <c r="B41">
        <v>2</v>
      </c>
      <c r="C41" s="2" t="s">
        <v>13</v>
      </c>
      <c r="G41" s="5" t="str">
        <f t="shared" si="0"/>
        <v xml:space="preserve">    &lt;/div&gt;</v>
      </c>
    </row>
    <row r="42" spans="1:7" x14ac:dyDescent="0.45">
      <c r="A42" t="s">
        <v>46</v>
      </c>
      <c r="B42">
        <v>2</v>
      </c>
      <c r="C42" s="2" t="s">
        <v>15</v>
      </c>
      <c r="G42" s="5" t="str">
        <f t="shared" si="0"/>
        <v xml:space="preserve">    &lt;div class="common_contents"&gt;</v>
      </c>
    </row>
    <row r="43" spans="1:7" x14ac:dyDescent="0.45">
      <c r="B43">
        <v>3</v>
      </c>
      <c r="C43" s="2" t="s">
        <v>44</v>
      </c>
      <c r="E43" t="s">
        <v>46</v>
      </c>
      <c r="F43" t="s">
        <v>77</v>
      </c>
      <c r="G43" s="5" t="str">
        <f t="shared" si="0"/>
        <v xml:space="preserve">      &lt;h3 class="common_h3"&gt;半生&lt;/h3&gt;</v>
      </c>
    </row>
    <row r="44" spans="1:7" x14ac:dyDescent="0.45">
      <c r="B44">
        <v>3</v>
      </c>
      <c r="C44" s="2" t="s">
        <v>47</v>
      </c>
      <c r="G44" s="5" t="str">
        <f t="shared" si="0"/>
        <v xml:space="preserve">      &lt;div class="contents_h4"&gt;</v>
      </c>
    </row>
    <row r="45" spans="1:7" x14ac:dyDescent="0.45">
      <c r="A45" s="6" t="s">
        <v>82</v>
      </c>
      <c r="B45">
        <v>4</v>
      </c>
      <c r="C45" s="2" t="s">
        <v>75</v>
      </c>
      <c r="E45" s="3" t="s">
        <v>89</v>
      </c>
      <c r="F45" t="s">
        <v>48</v>
      </c>
      <c r="G45" s="5" t="str">
        <f t="shared" si="0"/>
        <v xml:space="preserve">        &lt;h5 class="common_h5"&gt;和泉上守護代時代&lt;/h5&gt;</v>
      </c>
    </row>
    <row r="46" spans="1:7" x14ac:dyDescent="0.45">
      <c r="A46" s="6"/>
      <c r="B46">
        <v>4</v>
      </c>
      <c r="C46" s="2" t="s">
        <v>76</v>
      </c>
      <c r="G46" s="5" t="str">
        <f t="shared" si="0"/>
        <v xml:space="preserve">        &lt;div class="contents_h5"&gt;</v>
      </c>
    </row>
    <row r="47" spans="1:7" x14ac:dyDescent="0.45">
      <c r="A47" s="6"/>
      <c r="B47">
        <v>5</v>
      </c>
      <c r="C47" s="2"/>
      <c r="E47" s="3" t="s">
        <v>87</v>
      </c>
      <c r="F47" t="s">
        <v>78</v>
      </c>
      <c r="G47" s="5" t="str">
        <f t="shared" si="0"/>
        <v xml:space="preserve">          松浦守は、和泉上守護代、後に和泉を支配した戦国大名である。&lt;br&gt;</v>
      </c>
    </row>
    <row r="48" spans="1:7" x14ac:dyDescent="0.45">
      <c r="A48" s="6"/>
      <c r="B48">
        <v>5</v>
      </c>
      <c r="C48" s="2"/>
      <c r="E48" s="3" t="s">
        <v>88</v>
      </c>
      <c r="F48" t="s">
        <v>78</v>
      </c>
      <c r="G48" s="5" t="str">
        <f t="shared" si="0"/>
        <v xml:space="preserve">          和泉上守護細川元常の元で和泉上守護代として活動していたが、実態はほぼわかっていない。守の資料による初出は、1501（文亀元）年、和泉守護所の都市堺に滞在しているところで、このころは「年少」で「五郎次郎」と名乗っていたようだ。&lt;br&gt;</v>
      </c>
    </row>
    <row r="49" spans="1:7" x14ac:dyDescent="0.45">
      <c r="A49" s="6"/>
      <c r="B49">
        <v>5</v>
      </c>
      <c r="C49" s="2"/>
      <c r="E49" s="3" t="s">
        <v>86</v>
      </c>
      <c r="G49" s="5" t="str">
        <f t="shared" si="0"/>
        <v xml:space="preserve">          守は松浦総領家ではなかったようで、それでも家督を継いでいた。この理由は、もしかしたら細川元常と兄弟で、松浦家に養子に出たのでは…という説もあるらしい。</v>
      </c>
    </row>
    <row r="50" spans="1:7" x14ac:dyDescent="0.45">
      <c r="A50" s="6"/>
      <c r="B50">
        <v>4</v>
      </c>
      <c r="C50" s="2" t="s">
        <v>12</v>
      </c>
      <c r="G50" s="5" t="str">
        <f t="shared" si="0"/>
        <v xml:space="preserve">        &lt;/div&gt;</v>
      </c>
    </row>
    <row r="51" spans="1:7" x14ac:dyDescent="0.45">
      <c r="A51" s="6" t="s">
        <v>82</v>
      </c>
      <c r="B51">
        <v>4</v>
      </c>
      <c r="C51" s="2" t="s">
        <v>75</v>
      </c>
      <c r="E51" s="3" t="s">
        <v>92</v>
      </c>
      <c r="F51" t="s">
        <v>48</v>
      </c>
      <c r="G51" s="5" t="str">
        <f t="shared" si="0"/>
        <v xml:space="preserve">        &lt;h5 class="common_h5"&gt;細川家の争乱と守の活動&lt;/h5&gt;</v>
      </c>
    </row>
    <row r="52" spans="1:7" x14ac:dyDescent="0.45">
      <c r="A52" s="6"/>
      <c r="B52">
        <v>4</v>
      </c>
      <c r="C52" s="2" t="s">
        <v>76</v>
      </c>
      <c r="G52" s="5" t="str">
        <f t="shared" si="0"/>
        <v xml:space="preserve">        &lt;div class="contents_h5"&gt;</v>
      </c>
    </row>
    <row r="53" spans="1:7" x14ac:dyDescent="0.45">
      <c r="A53" s="6"/>
      <c r="B53">
        <v>5</v>
      </c>
      <c r="C53" s="2"/>
      <c r="E53" s="3" t="s">
        <v>100</v>
      </c>
      <c r="F53" t="s">
        <v>78</v>
      </c>
      <c r="G53" s="5" t="str">
        <f t="shared" si="0"/>
        <v xml:space="preserve">          1507（永正４）年、京兆家の細川政元が暗殺され、京兆家が二分されると、和泉守護家は上守護の元常が澄元方、下守護家が高国方に付いた。1527（大永7）年、高野山金剛峰寺の修理勧進帳に、松浦守は高国や河内畠山氏内衆らとともに署判している。この勧進帳は永正年間（1504～1521）の間に作成されたとされ、そうなると守は元常から一時離反したことになるが、この頃のこともよくわかっていないようだ。&lt;br&gt;</v>
      </c>
    </row>
    <row r="54" spans="1:7" x14ac:dyDescent="0.45">
      <c r="A54" s="6"/>
      <c r="B54">
        <v>5</v>
      </c>
      <c r="C54" s="2"/>
      <c r="E54" s="3" t="s">
        <v>90</v>
      </c>
      <c r="F54" t="s">
        <v>78</v>
      </c>
      <c r="G54" s="5" t="str">
        <f t="shared" si="0"/>
        <v xml:space="preserve">          守は1524（大永4）年に澄元の息子の晴元に従って和泉の菱木で高国と戦い、また、1527（大永7）年の桂川合戦の時にも晴元方として高国方を破っていた。こうしたことから、守は和泉での勢力維持のために元常-晴元派と高国方に二股をかけていたのかもしれない。&lt;br&gt;</v>
      </c>
    </row>
    <row r="55" spans="1:7" x14ac:dyDescent="0.45">
      <c r="A55" s="6"/>
      <c r="B55">
        <v>5</v>
      </c>
      <c r="C55" s="2"/>
      <c r="E55" s="3" t="s">
        <v>101</v>
      </c>
      <c r="F55" t="s">
        <v>78</v>
      </c>
      <c r="G55" s="5" t="str">
        <f t="shared" si="0"/>
        <v xml:space="preserve">          大永～享禄期（1528～1532年）に、武士・寺社・村落に対する守の発給文書が増える。つまり守の和泉制圧が進んだことを示し、元常が和泉にいない状況下で高国方と関係を持ちつつ和泉の支配を担っていた。また、1527（大永7）年12月、肥前守にはを称し、これが後の当主に受け継がれていく。&lt;br&gt;</v>
      </c>
    </row>
    <row r="56" spans="1:7" x14ac:dyDescent="0.45">
      <c r="A56" s="6"/>
      <c r="B56">
        <v>5</v>
      </c>
      <c r="C56" s="2"/>
      <c r="E56" s="3" t="s">
        <v>91</v>
      </c>
      <c r="G56" s="5" t="str">
        <f t="shared" si="0"/>
        <v xml:space="preserve">          1531（享禄4）年、高国が大物崩れで敗亡すると、高国方の和泉守護も姿を消したため、天文年間（1532～1555）年の初期には細川元常とその子晴貞が単独の和泉守護となる体制となり、守は単独の守護代となった。</v>
      </c>
    </row>
    <row r="57" spans="1:7" x14ac:dyDescent="0.45">
      <c r="A57" s="6"/>
      <c r="B57">
        <v>4</v>
      </c>
      <c r="C57" s="2" t="s">
        <v>12</v>
      </c>
      <c r="G57" s="5" t="str">
        <f t="shared" si="0"/>
        <v xml:space="preserve">        &lt;/div&gt;</v>
      </c>
    </row>
    <row r="58" spans="1:7" x14ac:dyDescent="0.45">
      <c r="A58" s="6" t="s">
        <v>82</v>
      </c>
      <c r="B58">
        <v>4</v>
      </c>
      <c r="C58" s="2" t="s">
        <v>75</v>
      </c>
      <c r="E58" s="3" t="s">
        <v>93</v>
      </c>
      <c r="F58" t="s">
        <v>48</v>
      </c>
      <c r="G58" s="5" t="str">
        <f t="shared" si="0"/>
        <v xml:space="preserve">        &lt;h5 class="common_h5"&gt;単独守護代としての和泉支配と細川晴元方としての活躍&lt;/h5&gt;</v>
      </c>
    </row>
    <row r="59" spans="1:7" x14ac:dyDescent="0.45">
      <c r="A59" s="6"/>
      <c r="B59">
        <v>4</v>
      </c>
      <c r="C59" s="2" t="s">
        <v>76</v>
      </c>
      <c r="G59" s="5" t="str">
        <f t="shared" si="0"/>
        <v xml:space="preserve">        &lt;div class="contents_h5"&gt;</v>
      </c>
    </row>
    <row r="60" spans="1:7" x14ac:dyDescent="0.45">
      <c r="A60" s="6"/>
      <c r="B60">
        <v>5</v>
      </c>
      <c r="C60" s="2"/>
      <c r="E60" s="3" t="s">
        <v>102</v>
      </c>
      <c r="F60" t="s">
        <v>78</v>
      </c>
      <c r="G60" s="5" t="str">
        <f t="shared" si="0"/>
        <v xml:space="preserve">          天文年間の守は単独の和泉守護代として、和泉に在国して守護所の堺にあり、分国支配を担った。その一方で奉行や小郡代を編成し、守護被官の日根野氏や高槻氏を自身の内衆として組織したまた、和泉南部の野田山城（のちの根福寺城）を築城し、根来寺の抑えとした。さらに大阪本願寺とも独自に交渉を行った。こうしたことから、守の自立化が伺える。&lt;br&gt;</v>
      </c>
    </row>
    <row r="61" spans="1:7" x14ac:dyDescent="0.45">
      <c r="A61" s="6"/>
      <c r="B61">
        <v>5</v>
      </c>
      <c r="C61" s="2"/>
      <c r="E61" s="3" t="s">
        <v>94</v>
      </c>
      <c r="F61" t="s">
        <v>78</v>
      </c>
      <c r="G61" s="5" t="str">
        <f t="shared" si="0"/>
        <v xml:space="preserve">          1542（天文11）年、和泉の有力国人玉井氏が細川氏綱や河内の畠山植長と結んで反乱を起こすと、守は敗れて堺に「蟄居」した。しかしすぐに和泉牢人衆を糾合して反撃、玉井氏の一族を破った。翌1543（天文12）年にも摂津・堺・和泉各地で玉井氏や細川氏綱と戦い、撃退した。&lt;br&gt;</v>
      </c>
    </row>
    <row r="62" spans="1:7" x14ac:dyDescent="0.45">
      <c r="A62" s="6"/>
      <c r="B62">
        <v>5</v>
      </c>
      <c r="C62" s="2"/>
      <c r="E62" s="3" t="s">
        <v>95</v>
      </c>
      <c r="G62" s="5" t="str">
        <f t="shared" si="0"/>
        <v xml:space="preserve">          1547（天文16）年の摂津舎利寺合戦でも細川晴元・三好長慶軍の先鋒を務めた守は活躍し、細川氏綱・畠山植長を打ち破った。この時期までは守は晴元方を支える有力武将であった。</v>
      </c>
    </row>
    <row r="63" spans="1:7" x14ac:dyDescent="0.45">
      <c r="A63" s="6"/>
      <c r="B63">
        <v>4</v>
      </c>
      <c r="C63" s="2" t="s">
        <v>12</v>
      </c>
      <c r="G63" s="5" t="str">
        <f t="shared" ref="G63" si="1">_xlfn.TEXTJOIN("",TRUE,REPT(" ",B63*$D$1),C63:F63)</f>
        <v xml:space="preserve">        &lt;/div&gt;</v>
      </c>
    </row>
    <row r="64" spans="1:7" x14ac:dyDescent="0.45">
      <c r="A64" s="6" t="s">
        <v>82</v>
      </c>
      <c r="B64">
        <v>4</v>
      </c>
      <c r="C64" s="2" t="s">
        <v>75</v>
      </c>
      <c r="E64" s="3" t="s">
        <v>96</v>
      </c>
      <c r="F64" t="s">
        <v>48</v>
      </c>
      <c r="G64" s="5" t="str">
        <f t="shared" si="0"/>
        <v xml:space="preserve">        &lt;h5 class="common_h5"&gt;守護からの自立と和泉最大の勢力への脱皮&lt;/h5&gt;</v>
      </c>
    </row>
    <row r="65" spans="1:7" x14ac:dyDescent="0.45">
      <c r="A65" s="6"/>
      <c r="B65">
        <v>4</v>
      </c>
      <c r="C65" s="2" t="s">
        <v>76</v>
      </c>
      <c r="G65" s="5" t="str">
        <f t="shared" si="0"/>
        <v xml:space="preserve">        &lt;div class="contents_h5"&gt;</v>
      </c>
    </row>
    <row r="66" spans="1:7" x14ac:dyDescent="0.45">
      <c r="A66" s="6"/>
      <c r="B66">
        <v>5</v>
      </c>
      <c r="C66" s="2"/>
      <c r="E66" s="3" t="s">
        <v>97</v>
      </c>
      <c r="F66" t="s">
        <v>78</v>
      </c>
      <c r="G66" s="5" t="str">
        <f t="shared" si="0"/>
        <v xml:space="preserve">          1548（天文17）年10月、守は晴元や元常・と決別する。この時期に細川晴元と三好長慶は対立、守は長慶に属したのである。長慶は同1548（天文17）年の江口合戦で晴元方を破り、晴元は没落する。これにより元常・晴貞の和泉守護家も没落し、守が和泉最大の勢力となる。江口合戦の直後の9月、河内畠山氏と結ぶ根来衆が襲来するも守は堺に籠ってこれを防いだ。&lt;br&gt;</v>
      </c>
    </row>
    <row r="67" spans="1:7" x14ac:dyDescent="0.45">
      <c r="A67" s="6"/>
      <c r="B67">
        <v>5</v>
      </c>
      <c r="C67" s="2"/>
      <c r="E67" s="3" t="s">
        <v>98</v>
      </c>
      <c r="F67" t="s">
        <v>78</v>
      </c>
      <c r="G67" s="5" t="str">
        <f t="shared" si="0"/>
        <v xml:space="preserve">          守は天文年間後半には60代の恒例だったと考えられ、弘治（1555～1558）年間に没したと考えられる。守の支配権は和泉の大鳥郡・和泉郡・南群と日根群の一部に及び、その勢力圏は織田政権に至るまで概ね維持されていく。&lt;br&gt;</v>
      </c>
    </row>
    <row r="68" spans="1:7" x14ac:dyDescent="0.45">
      <c r="A68" s="6"/>
      <c r="B68">
        <v>5</v>
      </c>
      <c r="C68" s="2"/>
      <c r="E68" s="3" t="s">
        <v>99</v>
      </c>
      <c r="G68" s="5" t="str">
        <f t="shared" si="0"/>
        <v xml:space="preserve">          守が没した後の松浦氏は幼少の松浦萬満を当主とし、十河一存と萬満の養父松浦守盛が補佐する体制となり、一存は松浦氏の本拠岸和田城に入っている。守は堺を本拠としたが、守亡き後の松浦氏は岸和田城を本拠とした。</v>
      </c>
    </row>
    <row r="69" spans="1:7" x14ac:dyDescent="0.45">
      <c r="A69" s="6"/>
      <c r="B69">
        <v>4</v>
      </c>
      <c r="C69" s="2" t="s">
        <v>12</v>
      </c>
      <c r="G69" s="5" t="str">
        <f t="shared" si="0"/>
        <v xml:space="preserve">        &lt;/div&gt;</v>
      </c>
    </row>
    <row r="70" spans="1:7" x14ac:dyDescent="0.45">
      <c r="B70">
        <v>3</v>
      </c>
      <c r="C70" s="2" t="s">
        <v>13</v>
      </c>
      <c r="G70" s="5" t="str">
        <f t="shared" si="0"/>
        <v xml:space="preserve">      &lt;/div&gt;</v>
      </c>
    </row>
    <row r="71" spans="1:7" x14ac:dyDescent="0.45">
      <c r="A71" t="s">
        <v>49</v>
      </c>
      <c r="B71">
        <v>3</v>
      </c>
      <c r="C71" s="2" t="s">
        <v>50</v>
      </c>
      <c r="E71" t="s">
        <v>51</v>
      </c>
      <c r="F71" t="s">
        <v>79</v>
      </c>
      <c r="G71" s="5" t="str">
        <f t="shared" si="0"/>
        <v xml:space="preserve">      &lt;div class="syutten"&gt;【出典】&lt;br&gt;</v>
      </c>
    </row>
    <row r="72" spans="1:7" x14ac:dyDescent="0.45">
      <c r="B72">
        <v>4</v>
      </c>
      <c r="C72" s="4"/>
      <c r="E72" s="3" t="s">
        <v>74</v>
      </c>
      <c r="G72" s="5" t="str">
        <f t="shared" si="0"/>
        <v xml:space="preserve">        戦国武将列伝7 畿内編上 より</v>
      </c>
    </row>
    <row r="73" spans="1:7" x14ac:dyDescent="0.45">
      <c r="B73">
        <v>3</v>
      </c>
      <c r="C73" s="2" t="s">
        <v>13</v>
      </c>
      <c r="G73" s="5" t="str">
        <f t="shared" si="0"/>
        <v xml:space="preserve">      &lt;/div&gt;</v>
      </c>
    </row>
    <row r="74" spans="1:7" x14ac:dyDescent="0.45">
      <c r="B74">
        <v>2</v>
      </c>
      <c r="C74" s="2" t="s">
        <v>13</v>
      </c>
      <c r="G74" s="5" t="str">
        <f t="shared" si="0"/>
        <v xml:space="preserve">    &lt;/div&gt;</v>
      </c>
    </row>
    <row r="75" spans="1:7" x14ac:dyDescent="0.45">
      <c r="A75" t="s">
        <v>54</v>
      </c>
      <c r="B75">
        <v>2</v>
      </c>
      <c r="C75" s="2" t="s">
        <v>15</v>
      </c>
      <c r="G75" s="5" t="str">
        <f t="shared" si="0"/>
        <v xml:space="preserve">    &lt;div class="common_contents"&gt;</v>
      </c>
    </row>
    <row r="76" spans="1:7" x14ac:dyDescent="0.45">
      <c r="B76">
        <v>3</v>
      </c>
      <c r="C76" s="2" t="s">
        <v>44</v>
      </c>
      <c r="E76" t="s">
        <v>53</v>
      </c>
      <c r="F76" t="s">
        <v>45</v>
      </c>
      <c r="G76" s="5" t="str">
        <f t="shared" si="0"/>
        <v xml:space="preserve">      &lt;h3 class="common_h3"&gt;年表&lt;/h3&gt;</v>
      </c>
    </row>
    <row r="77" spans="1:7" x14ac:dyDescent="0.45">
      <c r="B77">
        <v>3</v>
      </c>
      <c r="C77" s="2" t="s">
        <v>56</v>
      </c>
      <c r="G77" s="5" t="str">
        <f t="shared" si="0"/>
        <v xml:space="preserve">      &lt;table class="nenpyo"&gt;</v>
      </c>
    </row>
    <row r="78" spans="1:7" x14ac:dyDescent="0.45">
      <c r="B78">
        <v>3</v>
      </c>
      <c r="C78" s="2" t="s">
        <v>55</v>
      </c>
      <c r="G78" s="5" t="str">
        <f t="shared" si="0"/>
        <v xml:space="preserve">      &lt;/table&gt;</v>
      </c>
    </row>
    <row r="79" spans="1:7" x14ac:dyDescent="0.45">
      <c r="B79">
        <v>2</v>
      </c>
      <c r="C79" s="2" t="s">
        <v>13</v>
      </c>
      <c r="G79" s="5" t="str">
        <f t="shared" si="0"/>
        <v xml:space="preserve">    &lt;/div&gt;</v>
      </c>
    </row>
    <row r="80" spans="1:7" x14ac:dyDescent="0.45">
      <c r="A80" t="s">
        <v>80</v>
      </c>
      <c r="B80">
        <v>2</v>
      </c>
      <c r="C80" s="2" t="s">
        <v>57</v>
      </c>
      <c r="G80" s="5" t="str">
        <f t="shared" si="0"/>
        <v xml:space="preserve">    &lt;div class="category_area"&gt;</v>
      </c>
    </row>
    <row r="81" spans="1:7" x14ac:dyDescent="0.45">
      <c r="B81">
        <v>3</v>
      </c>
      <c r="C81" s="2" t="s">
        <v>69</v>
      </c>
      <c r="D81" s="3" t="s">
        <v>70</v>
      </c>
      <c r="E81" s="3" t="s">
        <v>63</v>
      </c>
      <c r="F81" t="s">
        <v>62</v>
      </c>
      <c r="G81" s="5" t="str">
        <f t="shared" si="0"/>
        <v xml:space="preserve">      &lt;a calss="category" href="../../../category_index/index_history_of_sengoku.html"&gt;戦国時代&lt;/a&gt;</v>
      </c>
    </row>
    <row r="82" spans="1:7" x14ac:dyDescent="0.45">
      <c r="B82">
        <v>3</v>
      </c>
      <c r="C82" s="2" t="s">
        <v>69</v>
      </c>
      <c r="D82" s="3" t="s">
        <v>71</v>
      </c>
      <c r="E82" s="3" t="s">
        <v>61</v>
      </c>
      <c r="F82" t="s">
        <v>60</v>
      </c>
      <c r="G82" s="5" t="str">
        <f t="shared" si="0"/>
        <v xml:space="preserve">      &lt;a calss="category" href="../../../category_index/index_uji_matsura.html"&gt;松浦氏&lt;/a&gt;</v>
      </c>
    </row>
    <row r="83" spans="1:7" x14ac:dyDescent="0.45">
      <c r="B83">
        <v>2</v>
      </c>
      <c r="C83" s="2" t="s">
        <v>13</v>
      </c>
      <c r="G83" s="5" t="str">
        <f t="shared" si="0"/>
        <v xml:space="preserve">    &lt;/div&gt;</v>
      </c>
    </row>
    <row r="84" spans="1:7" x14ac:dyDescent="0.45">
      <c r="A84" t="s">
        <v>81</v>
      </c>
      <c r="B84">
        <v>2</v>
      </c>
      <c r="C84" s="2" t="s">
        <v>58</v>
      </c>
      <c r="G84" s="5" t="str">
        <f t="shared" si="0"/>
        <v xml:space="preserve">    &lt;div class="common_footer"&gt;</v>
      </c>
    </row>
    <row r="85" spans="1:7" x14ac:dyDescent="0.45">
      <c r="B85">
        <v>3</v>
      </c>
      <c r="C85" s="2" t="s">
        <v>67</v>
      </c>
      <c r="D85" s="3" t="s">
        <v>68</v>
      </c>
      <c r="E85" s="3" t="s">
        <v>66</v>
      </c>
      <c r="F85" t="s">
        <v>64</v>
      </c>
      <c r="G85" s="5" t="str">
        <f t="shared" si="0"/>
        <v xml:space="preserve">      &lt;p class="link"&gt;&lt;a href="../japan_index.html"&gt;日本へ戻る&lt;/a&gt;&lt;/p&gt;</v>
      </c>
    </row>
    <row r="86" spans="1:7" x14ac:dyDescent="0.45">
      <c r="B86">
        <v>3</v>
      </c>
      <c r="C86" s="2" t="s">
        <v>72</v>
      </c>
      <c r="D86" s="3" t="s">
        <v>73</v>
      </c>
      <c r="E86" t="s">
        <v>65</v>
      </c>
      <c r="F86" t="s">
        <v>64</v>
      </c>
      <c r="G86" s="5" t="str">
        <f t="shared" si="0"/>
        <v xml:space="preserve">      &lt;p class="link"&gt;&lt;a href="../../../index.html"&gt;TOPへ戻る&lt;/a&gt;&lt;/p&gt;</v>
      </c>
    </row>
    <row r="87" spans="1:7" x14ac:dyDescent="0.45">
      <c r="B87">
        <v>2</v>
      </c>
      <c r="C87" s="2" t="s">
        <v>13</v>
      </c>
      <c r="G87" s="5" t="str">
        <f t="shared" si="0"/>
        <v xml:space="preserve">    &lt;/div&gt;</v>
      </c>
    </row>
    <row r="88" spans="1:7" x14ac:dyDescent="0.45">
      <c r="B88">
        <v>1</v>
      </c>
      <c r="C88" s="2" t="s">
        <v>59</v>
      </c>
      <c r="G88" s="5" t="str">
        <f t="shared" ref="G88:G89" si="2">_xlfn.TEXTJOIN("",TRUE,REPT(" ",B88*$D$1),C88:F88)</f>
        <v xml:space="preserve">  &lt;/body&gt;</v>
      </c>
    </row>
    <row r="89" spans="1:7" x14ac:dyDescent="0.45">
      <c r="B89">
        <v>0</v>
      </c>
      <c r="C89" s="1" t="s">
        <v>52</v>
      </c>
      <c r="G89" s="5" t="str">
        <f t="shared" si="2"/>
        <v>&lt;/html&gt;</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日本史人物テンプレート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坂井 敦/Atsushi Sakai</dc:creator>
  <cp:lastModifiedBy>坂井 敦/Atsushi Sakai</cp:lastModifiedBy>
  <dcterms:created xsi:type="dcterms:W3CDTF">2026-03-01T03:13:47Z</dcterms:created>
  <dcterms:modified xsi:type="dcterms:W3CDTF">2026-03-01T07:14:27Z</dcterms:modified>
</cp:coreProperties>
</file>